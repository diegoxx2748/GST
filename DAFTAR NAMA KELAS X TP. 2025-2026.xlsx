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GUNG@JOB 2025-2026\KESISWAAN\DAFTAR NAMA\"/>
    </mc:Choice>
  </mc:AlternateContent>
  <bookViews>
    <workbookView xWindow="32760" yWindow="32760" windowWidth="19200" windowHeight="6765"/>
  </bookViews>
  <sheets>
    <sheet name="X-1" sheetId="1" r:id="rId1"/>
    <sheet name="X-2" sheetId="2" r:id="rId2"/>
    <sheet name="X-3" sheetId="3" r:id="rId3"/>
    <sheet name="X-4" sheetId="4" r:id="rId4"/>
    <sheet name="X-5" sheetId="11" r:id="rId5"/>
    <sheet name="X-6" sheetId="6" r:id="rId6"/>
    <sheet name="X-7" sheetId="7" r:id="rId7"/>
    <sheet name="X-8" sheetId="10" r:id="rId8"/>
    <sheet name="OLAH SBSENSI 2025" sheetId="13" r:id="rId9"/>
    <sheet name="REKAP" sheetId="14" r:id="rId10"/>
    <sheet name="Sheet1" sheetId="12" r:id="rId11"/>
  </sheets>
  <definedNames>
    <definedName name="__xlnm._FilterDatabase" localSheetId="0">#N/A</definedName>
    <definedName name="__xlnm._FilterDatabase" localSheetId="1">#N/A</definedName>
    <definedName name="__xlnm._FilterDatabase" localSheetId="2">#N/A</definedName>
    <definedName name="__xlnm._FilterDatabase" localSheetId="3">#N/A</definedName>
    <definedName name="__xlnm._FilterDatabase" localSheetId="4">#N/A</definedName>
    <definedName name="__xlnm._FilterDatabase" localSheetId="5">#N/A</definedName>
    <definedName name="__xlnm._FilterDatabase" localSheetId="6">#N/A</definedName>
    <definedName name="__xlnm._FilterDatabase" localSheetId="7">#N/A</definedName>
    <definedName name="__xlnm.Print_Area" localSheetId="0">'X-1'!$A$1:$Z$63</definedName>
    <definedName name="__xlnm.Print_Area" localSheetId="1">'X-2'!$A$1:$Z$63</definedName>
    <definedName name="__xlnm.Print_Area" localSheetId="2">'X-3'!$A$1:$Z$63</definedName>
    <definedName name="__xlnm.Print_Area" localSheetId="3">'X-4'!$A$1:$Z$66</definedName>
    <definedName name="__xlnm.Print_Area" localSheetId="4">'X-5'!$A$1:$Z$64</definedName>
    <definedName name="__xlnm.Print_Area" localSheetId="5">'X-6'!$A$1:$Z$65</definedName>
    <definedName name="__xlnm.Print_Area" localSheetId="6">'X-7'!$A$1:$Z$62</definedName>
    <definedName name="__xlnm.Print_Area" localSheetId="7">'X-8'!$A$1:$AA$62</definedName>
    <definedName name="_xlnm._FilterDatabase" localSheetId="8" hidden="1">'OLAH SBSENSI 2025'!$A$1:$E$268</definedName>
    <definedName name="_xlnm._FilterDatabase" localSheetId="10" hidden="1">Sheet1!$A$1:$E$269</definedName>
    <definedName name="_xlnm.Print_Area" localSheetId="0">'X-1'!$A$1:$Z$62</definedName>
    <definedName name="_xlnm.Print_Area" localSheetId="1">'X-2'!$A$1:$Z$63</definedName>
    <definedName name="_xlnm.Print_Area" localSheetId="2">'X-3'!$A$1:$Z$63</definedName>
    <definedName name="_xlnm.Print_Area" localSheetId="3">'X-4'!$A$1:$AA$66</definedName>
    <definedName name="_xlnm.Print_Area" localSheetId="4">'X-5'!$A$1:$Z$64</definedName>
    <definedName name="_xlnm.Print_Area" localSheetId="5">'X-6'!$A$1:$Z$65</definedName>
    <definedName name="_xlnm.Print_Area" localSheetId="6">'X-7'!$A$1:$Z$62</definedName>
    <definedName name="_xlnm.Print_Area" localSheetId="7">'X-8'!$A$1:$AA$62</definedName>
  </definedNames>
  <calcPr calcId="152511"/>
</workbook>
</file>

<file path=xl/calcChain.xml><?xml version="1.0" encoding="utf-8"?>
<calcChain xmlns="http://schemas.openxmlformats.org/spreadsheetml/2006/main">
  <c r="D9" i="14" l="1"/>
  <c r="D8" i="14"/>
  <c r="D7" i="14"/>
  <c r="D6" i="14"/>
  <c r="D5" i="14"/>
  <c r="D4" i="14"/>
  <c r="D3" i="14"/>
  <c r="D2" i="14"/>
  <c r="D11" i="14" l="1"/>
  <c r="C9" i="14" l="1"/>
  <c r="B9" i="14"/>
  <c r="C7" i="14"/>
  <c r="B7" i="14"/>
  <c r="C6" i="14"/>
  <c r="B6" i="14"/>
  <c r="C5" i="14"/>
  <c r="B5" i="14"/>
  <c r="C4" i="14"/>
  <c r="B4" i="14"/>
  <c r="D58" i="2"/>
  <c r="C3" i="14"/>
  <c r="B3" i="14"/>
  <c r="A10" i="12"/>
  <c r="A7" i="12"/>
  <c r="A11" i="12"/>
  <c r="A28" i="12"/>
  <c r="A3" i="12"/>
  <c r="D60" i="2"/>
  <c r="D58" i="11"/>
  <c r="D57" i="11"/>
  <c r="D59" i="11"/>
  <c r="E56" i="10"/>
  <c r="E55" i="10"/>
  <c r="E57" i="10"/>
  <c r="D56" i="7"/>
  <c r="C8" i="14" s="1"/>
  <c r="D55" i="7"/>
  <c r="D57" i="7" s="1"/>
  <c r="D59" i="6"/>
  <c r="D58" i="6"/>
  <c r="D60" i="6"/>
  <c r="D59" i="4"/>
  <c r="D58" i="4"/>
  <c r="D60" i="4"/>
  <c r="D59" i="3"/>
  <c r="D58" i="3"/>
  <c r="D60" i="3"/>
  <c r="D59" i="2"/>
  <c r="D58" i="1"/>
  <c r="C2" i="14" s="1"/>
  <c r="D57" i="1"/>
  <c r="B2" i="14" s="1"/>
  <c r="A12" i="12"/>
  <c r="A13" i="12"/>
  <c r="A14" i="12"/>
  <c r="A15" i="12"/>
  <c r="A16" i="12"/>
  <c r="A17" i="12"/>
  <c r="A18" i="12"/>
  <c r="A19" i="12"/>
  <c r="A20" i="12"/>
  <c r="A21" i="12"/>
  <c r="A22" i="12"/>
  <c r="A24" i="12"/>
  <c r="A25" i="12"/>
  <c r="A26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B8" i="14" l="1"/>
  <c r="D59" i="1"/>
</calcChain>
</file>

<file path=xl/sharedStrings.xml><?xml version="1.0" encoding="utf-8"?>
<sst xmlns="http://schemas.openxmlformats.org/spreadsheetml/2006/main" count="2552" uniqueCount="322">
  <si>
    <t xml:space="preserve">Kelas </t>
  </si>
  <si>
    <t>Wali Kelas</t>
  </si>
  <si>
    <t>No Urut</t>
  </si>
  <si>
    <t>No Induk</t>
  </si>
  <si>
    <t>Nama</t>
  </si>
  <si>
    <t>L/P</t>
  </si>
  <si>
    <t>NILAI</t>
  </si>
  <si>
    <t>L</t>
  </si>
  <si>
    <t>P</t>
  </si>
  <si>
    <t xml:space="preserve">JUMLAH SISWA LAKI-LAKI </t>
  </si>
  <si>
    <t>JUMLAH SISWA PEREMPUAN</t>
  </si>
  <si>
    <t>JUMLAH KESELURUHAN</t>
  </si>
  <si>
    <t>JML</t>
  </si>
  <si>
    <t>DAFTAR HADIR</t>
  </si>
  <si>
    <t>KETERANGAN</t>
  </si>
  <si>
    <t>KEGIATAN : ................................................................</t>
  </si>
  <si>
    <t>KEGIATAN : ...................................................................</t>
  </si>
  <si>
    <t>KEGIATAN : ..................................................................</t>
  </si>
  <si>
    <t>KEGIATAN : ............................................................</t>
  </si>
  <si>
    <t>KEGIATAN : ...........................................................</t>
  </si>
  <si>
    <t>KEGIATAN : .................................................................</t>
  </si>
  <si>
    <t>: X - 1</t>
  </si>
  <si>
    <t>: X - 2</t>
  </si>
  <si>
    <t>: X - 3</t>
  </si>
  <si>
    <t>: X - 4</t>
  </si>
  <si>
    <t>: X - 5</t>
  </si>
  <si>
    <t>: X - 6</t>
  </si>
  <si>
    <t>: X - 7</t>
  </si>
  <si>
    <t>: X - 8</t>
  </si>
  <si>
    <t>TAHUN PELAJARAN 2025/ 2026</t>
  </si>
  <si>
    <t>ABID LUHUNG FITRA WIYONO</t>
  </si>
  <si>
    <t>ALGIS QIANDRA YUDHA PRATAMA</t>
  </si>
  <si>
    <t>ALVIAN RADITYA PRATAMA</t>
  </si>
  <si>
    <t>ARSENDI ZIKRI UTOMO PUTRA</t>
  </si>
  <si>
    <t>ASKA FATAH FEDORA ILAHI</t>
  </si>
  <si>
    <t>BAIQ NINDI REGINA PUTRI</t>
  </si>
  <si>
    <t>BERYL AFFAN AFLAHURROJI</t>
  </si>
  <si>
    <t>BRILIAN RAFA RAMADAN</t>
  </si>
  <si>
    <t>CHANTIKA INTANIA NURMAWATI BASKORO</t>
  </si>
  <si>
    <t>DAFFA RAQILLA SUGIONO</t>
  </si>
  <si>
    <t>DAVID MAULANA CHAMID</t>
  </si>
  <si>
    <t>FADHIL AFFANDI FAYYADH</t>
  </si>
  <si>
    <t>GHANI KHAENU RAFA AR RASYID</t>
  </si>
  <si>
    <t>HANSAMU DETTA PUTRA ATHAILLAH</t>
  </si>
  <si>
    <t>HAPPY BINTANG YUNIOR</t>
  </si>
  <si>
    <t>KANDHITA SAFIRA MAHARANI</t>
  </si>
  <si>
    <t>LATISYA BINTANG LURATANIA</t>
  </si>
  <si>
    <t>LATIVA ANINDITA</t>
  </si>
  <si>
    <t>MAUDY ALIA SHOFIYANTI S</t>
  </si>
  <si>
    <t>MIRZA NUR ALAMSHAH</t>
  </si>
  <si>
    <t>MOH A'MAL FAIRUZ ZAIN</t>
  </si>
  <si>
    <t>MUHAMMAD ADILA VARIAN KASHIRA</t>
  </si>
  <si>
    <t>MUHAMMAD ARKANA AEROFA RUBY</t>
  </si>
  <si>
    <t>MUHAMMAD FADHIL ADIYAKSA</t>
  </si>
  <si>
    <t>MUHAMMAD RAFI AZHAR</t>
  </si>
  <si>
    <t>NADYA NUR CHAIRANI</t>
  </si>
  <si>
    <t>PUTRI SUKE RAMADANI</t>
  </si>
  <si>
    <t>RAFFI ZAAHIR RAMADHAN</t>
  </si>
  <si>
    <t>RENATA AZALIA NADHIF</t>
  </si>
  <si>
    <t>RIDHANA AGNESIA SUBEKTI</t>
  </si>
  <si>
    <t>RYNESAN VIDYADHIGUNA KURNIA TSABIT</t>
  </si>
  <si>
    <t>SULTAN BARA NUZULUS SYIFA'</t>
  </si>
  <si>
    <t>VALENTIA MAURIS</t>
  </si>
  <si>
    <t>ZIDDANE ASYKURA RAHMAN</t>
  </si>
  <si>
    <t>ADIYAT TAUFANI PUTRA GHANIAN</t>
  </si>
  <si>
    <t>ALVINO SATRIA PUTRA JATMIKO</t>
  </si>
  <si>
    <t>ARIA FALIHA ABYDZA</t>
  </si>
  <si>
    <t>ARRAFI FAJRI MUHARRAM</t>
  </si>
  <si>
    <t>ARYA SATYA DIWANTOKO</t>
  </si>
  <si>
    <t>BIANKA AMANISA</t>
  </si>
  <si>
    <t>DHIMAS BAYU PRAWIRO WIBISONO</t>
  </si>
  <si>
    <t>FENI ADELIA</t>
  </si>
  <si>
    <t>GIGIH RESTU PANGLIPUR</t>
  </si>
  <si>
    <t>HASYA NAZIFA ADANI</t>
  </si>
  <si>
    <t>IQSYAMAMUDA</t>
  </si>
  <si>
    <t>KENZIE WIRASENA MUHAMMAD AKHTIARY</t>
  </si>
  <si>
    <t>KHENZA PERMATA UNGU</t>
  </si>
  <si>
    <t>LINTANG WISNU PUTRI WIYONO</t>
  </si>
  <si>
    <t>MUHAMMAD DARWIS PUTRA HARIANSYAH</t>
  </si>
  <si>
    <t>MUHAMMAD FAIZ NAUFAL SANTIKA</t>
  </si>
  <si>
    <t>MUHAMMAD JIBRIL ARIE PAMESTI</t>
  </si>
  <si>
    <t>MUHAMMAD RASYIDAN KURNIAWAN</t>
  </si>
  <si>
    <t>NADHIR NAYAKA NIBRAS PENAMBIH</t>
  </si>
  <si>
    <t>NAUFAL ACHMAD SAABIQ</t>
  </si>
  <si>
    <t>NAUFAL RAFA ADITYA</t>
  </si>
  <si>
    <t>PUTRI NAIRASWARI</t>
  </si>
  <si>
    <t>QUEENZY BUEGY LUVRELCIA</t>
  </si>
  <si>
    <t>RASYA SERIO ARRAFI</t>
  </si>
  <si>
    <t>RENO FEBRIANSYAH</t>
  </si>
  <si>
    <t>RISKY ALFIAN MA'RUF</t>
  </si>
  <si>
    <t>RIZKY JELANG RAMADHAN</t>
  </si>
  <si>
    <t>SHABRINA FATIMATUS KEY ZAHRA</t>
  </si>
  <si>
    <t>SHERILLA AURA FERNANDA</t>
  </si>
  <si>
    <t>TAHRIZI PASTIKA KURNIAWAN</t>
  </si>
  <si>
    <t>THALITA ARTANTI</t>
  </si>
  <si>
    <t>WALID AL QODHI</t>
  </si>
  <si>
    <t>WIZARD WISNU WARDHANA</t>
  </si>
  <si>
    <t>ZIZI ARETA MACHIKO SETYO AL MAJID</t>
  </si>
  <si>
    <t>ANJOYAN R IMANUEL SAPULETTE</t>
  </si>
  <si>
    <t>ARETHA CATHERINE CRISNOVA MARPAUNG</t>
  </si>
  <si>
    <t>ARGA SYAPUTRA BURSOKPATI</t>
  </si>
  <si>
    <t>CALISTHA ZIVA KURNIA</t>
  </si>
  <si>
    <t>DAHAYUNA ALISIA RAHMA</t>
  </si>
  <si>
    <t>DWI BAGUS WICAKSONO</t>
  </si>
  <si>
    <t>FARIZ MAHENDRA SAKTI</t>
  </si>
  <si>
    <t>FEBRIAN RICHKY BAHARI ERYZON MANURUNG</t>
  </si>
  <si>
    <t>FEDYENKA YOFE SINE HARYADI</t>
  </si>
  <si>
    <t>GILVARRY JOEL VINCENT PALINGGI</t>
  </si>
  <si>
    <t>HUGO COBAIN WELLEM VAN HOUTEN</t>
  </si>
  <si>
    <t>IMANUEL KRISTIAN SELA KAMODI</t>
  </si>
  <si>
    <t>IMANUEL SUDJIO NOTO KUSUMO</t>
  </si>
  <si>
    <t>JONATHAN BENAYA MAXIMILLIAN</t>
  </si>
  <si>
    <t>JONATHAN IDO HALOMOAN SIRAIT</t>
  </si>
  <si>
    <t>JONATHAN IVANDER SANTOSA</t>
  </si>
  <si>
    <t>JOSH PAYAMAN PRASETYA SIBURIAN</t>
  </si>
  <si>
    <t>KANYA PRAJWALITA JYOSNAKARA</t>
  </si>
  <si>
    <t>KENNARD CANDRACA JALASENA</t>
  </si>
  <si>
    <t>KENNETH SHANE MARVEL WUWUNG</t>
  </si>
  <si>
    <t>LASKAR ANUNG WIDAGDO</t>
  </si>
  <si>
    <t>MAGHFIROTUL ISTIGHFAROH</t>
  </si>
  <si>
    <t>MUHAMMAD AL FAUZAN</t>
  </si>
  <si>
    <t>NAURA PUTRI MAHARANI</t>
  </si>
  <si>
    <t>NEWEN BESTIAN SIMAMORA</t>
  </si>
  <si>
    <t>NUR WIDYA</t>
  </si>
  <si>
    <t>SALMA JALANIDHI PRABOWO</t>
  </si>
  <si>
    <t>SAMUEL SURYA LABANTA BERUTU</t>
  </si>
  <si>
    <t>SANDRIO NATHANAEL PUTRA HERLAMBANG</t>
  </si>
  <si>
    <t>SATYA WIRADHIKA ZENERLYN</t>
  </si>
  <si>
    <t>SHERENA ZHAFIRA SRIBINTORO</t>
  </si>
  <si>
    <t>SYARIFATUL JINAN</t>
  </si>
  <si>
    <t>VIKA APRILIA ZAHRA</t>
  </si>
  <si>
    <t>YOCELYN DWI MARTONO</t>
  </si>
  <si>
    <t>ABIMANYU GUSTYA TAUFANO</t>
  </si>
  <si>
    <t>AISYAH MAULIDA TSANIA</t>
  </si>
  <si>
    <t>ALVANO WIRA ARVIANTO</t>
  </si>
  <si>
    <t>ALYA PUTRI LESTARI</t>
  </si>
  <si>
    <t>ANDREAS KENZIE RADITHYA PUTRA</t>
  </si>
  <si>
    <t>ANNISA DINDA SUFIA</t>
  </si>
  <si>
    <t>AZMI NAFIAH ZAHRAH</t>
  </si>
  <si>
    <t>BRAMASTIAN NARENDRA</t>
  </si>
  <si>
    <t>ERGIAN ANDHIKA PRASETYA</t>
  </si>
  <si>
    <t>GIEVALDO YUDHA PRATAMA</t>
  </si>
  <si>
    <t>HANIN AMALIA PRAYOGA</t>
  </si>
  <si>
    <t>HERALD PUTRA SETYAHADI</t>
  </si>
  <si>
    <t>I PUTU WIANANTA PUTRA</t>
  </si>
  <si>
    <t>KADEK HENDRA BHAKTI ARGA</t>
  </si>
  <si>
    <t>KAYLA JASINDA HAFIDZAH</t>
  </si>
  <si>
    <t>KHAIZURAN ZAKKIYY ALBEN</t>
  </si>
  <si>
    <t>MALAIKA KUSUMAWARDANI</t>
  </si>
  <si>
    <t>MOCH. KAIZAN ADHA WIRALAGA SAKTI</t>
  </si>
  <si>
    <t>MUHAMMAD ADINATA RABBANI</t>
  </si>
  <si>
    <t>MUHAMMAD BINAR RAMA RAFIDAN</t>
  </si>
  <si>
    <t>MUHAMMAD KENZIE ARYASATYA ARDHANI</t>
  </si>
  <si>
    <t>MUHAMMAD YUSUF MULYANA</t>
  </si>
  <si>
    <t>NABILA CINTIA DEWI</t>
  </si>
  <si>
    <t>NAUFAL MAULANA</t>
  </si>
  <si>
    <t>NAYAKA PUTRA AZMI NUGROHO</t>
  </si>
  <si>
    <t>NAYLA DWI RAMADHANI</t>
  </si>
  <si>
    <t>NEVIRA DWININGTYAS</t>
  </si>
  <si>
    <t>RAFAEL ADHIKARI PRAMUDITO</t>
  </si>
  <si>
    <t>RASYA AHMAD RAMADHAN</t>
  </si>
  <si>
    <t>RIZALDY ADITYA SEPTRIAN</t>
  </si>
  <si>
    <t>SATYA ANUGERAH</t>
  </si>
  <si>
    <t>VANEZA DEWI AYU NINGTYAS</t>
  </si>
  <si>
    <t>ZIDHA NURUL LAILY</t>
  </si>
  <si>
    <t>ZUDECA REVANDER ANDREA PRATAMA</t>
  </si>
  <si>
    <t>ADELIO ALVARO PUTRA YURIMA</t>
  </si>
  <si>
    <t>AFILZA MUKMIN</t>
  </si>
  <si>
    <t>ALIYA PUTRI CIPTA NAIRA</t>
  </si>
  <si>
    <t>ANDHIKA YOSHIO VALDA</t>
  </si>
  <si>
    <t>ARGANI ATHALLAH BISMA</t>
  </si>
  <si>
    <t>AUFA DE RADITYA AHMAD AL GHAZI</t>
  </si>
  <si>
    <t>AULIA ZAHRA SALSABILA</t>
  </si>
  <si>
    <t>AZKA AURELYA ROHANDI</t>
  </si>
  <si>
    <t>CAESAR LEONARDO PRASTOWO</t>
  </si>
  <si>
    <t>DIEGO RASHAFA APRILIO</t>
  </si>
  <si>
    <t>ELYANIDEWI LESTARI</t>
  </si>
  <si>
    <t>FAKHRI RIZKI RAMDANI</t>
  </si>
  <si>
    <t>FARIZ IMAN ADIPRATAMA</t>
  </si>
  <si>
    <t>INTAN LADYANA ZAIN</t>
  </si>
  <si>
    <t>JAVAS IVANDER KALANI</t>
  </si>
  <si>
    <t>KHAIRA SHAFIYA RAHMA ZAHRANI</t>
  </si>
  <si>
    <t>KIRANA POZADIAH PURNAMA</t>
  </si>
  <si>
    <t>MARICK ADAM AL BURUJ</t>
  </si>
  <si>
    <t>MAULADAN ABBIAVO WIJAYA KENCANA</t>
  </si>
  <si>
    <t>MAULIDA FEBRIANA LUQMAN</t>
  </si>
  <si>
    <t>MH. RIFKY DWITDYA PUTRA</t>
  </si>
  <si>
    <t>MINHAJUL QOWIM</t>
  </si>
  <si>
    <t>MOHAMMAD FAULLANA RAMADHANI</t>
  </si>
  <si>
    <t>MUHAMMAD GANESHA WISNU MURTI</t>
  </si>
  <si>
    <t>MUHAMMAD NAURA FEBRIAN SAIFULLAH</t>
  </si>
  <si>
    <t>NADIA NUR RAHMAN</t>
  </si>
  <si>
    <t>NICO PRATAMA WIJAYA</t>
  </si>
  <si>
    <t>NOVA AZZAHRA QUEEN</t>
  </si>
  <si>
    <t>RAFI PRASETYO ALWISYAHPUTRA</t>
  </si>
  <si>
    <t>REWALDIN FAHMI ANDHIKO</t>
  </si>
  <si>
    <t>RIZKY AL BRIAN OKPARA</t>
  </si>
  <si>
    <t>RIZKYAWAN HARIBU</t>
  </si>
  <si>
    <t>SHAVIRA ADELLIA PUTRI</t>
  </si>
  <si>
    <t>SYAHMIZAKY AYDIN PRADANA</t>
  </si>
  <si>
    <t>ANGGIE AULIA RAHMA</t>
  </si>
  <si>
    <t>ARRAYHAN SYAMNAUFAL DAVINPUTRA</t>
  </si>
  <si>
    <t>ARSAWEDA PANDUNEGARA</t>
  </si>
  <si>
    <t>AULYA JAVIER PUTRANTI</t>
  </si>
  <si>
    <t>BIMA DWI SAPUTRA</t>
  </si>
  <si>
    <t>CEFIN SETYO ADJIE CHENO</t>
  </si>
  <si>
    <t>DAMIA AJLA BAKHREISYI</t>
  </si>
  <si>
    <t>DEWI WULANDARI PUTRI GIYARSO</t>
  </si>
  <si>
    <t>FAREL DEVANO PUTRA AFFANDI</t>
  </si>
  <si>
    <t>FATHAN AR ROYYAN</t>
  </si>
  <si>
    <t>FIRNANDA CHARISTANIA</t>
  </si>
  <si>
    <t>GADING GUMILANG</t>
  </si>
  <si>
    <t>JAYA MUSYAFFA SURYA SUDRAJAT</t>
  </si>
  <si>
    <t>JONA RIDHO WAHYUDI ANAKOTTA</t>
  </si>
  <si>
    <t>KRISTIA ALGIFARI NINGTYAS</t>
  </si>
  <si>
    <t>LIONITA BELLA YUDHA DWI ANUGRAHINI</t>
  </si>
  <si>
    <t>MOH. ARDELL IJLAL MUSTAFA</t>
  </si>
  <si>
    <t>MUHAMMAD ABYASA ALVARO FARREL</t>
  </si>
  <si>
    <t>MUHAMMAD QUERREL ARAY AT TAQQI</t>
  </si>
  <si>
    <t>MUHAMMAD RAFI DANISWARA IRWAN</t>
  </si>
  <si>
    <t>NAHDAH ANINDYA IRAWAN</t>
  </si>
  <si>
    <t>NAURA AZIRWA AYUNDA TRIXIE</t>
  </si>
  <si>
    <t>OKTRIAN WIRA PRANATA</t>
  </si>
  <si>
    <t>PUTRI RISKIYANI AMBAR SARI</t>
  </si>
  <si>
    <t>QUEEN AZ-ZAHRA REPPY RACHMANISSA</t>
  </si>
  <si>
    <t>RADYA DIPA NUSANTARA</t>
  </si>
  <si>
    <t>RAHMAD RADIX SADANA</t>
  </si>
  <si>
    <t>REVANO DAVA SYAHREZA</t>
  </si>
  <si>
    <t>REYZA NUR ALAMSYAH</t>
  </si>
  <si>
    <t>RIO NAZRIL ERMIANSYAH</t>
  </si>
  <si>
    <t>SAMUDERA LANGIT BIRU</t>
  </si>
  <si>
    <t>SHEFIRA INDAH WIRATRI</t>
  </si>
  <si>
    <t>TEGAR ARYO WIBOWO</t>
  </si>
  <si>
    <t>ZIDAN FADHIL ADINATA</t>
  </si>
  <si>
    <t>AHNAF IKHWAN MA'RUFI</t>
  </si>
  <si>
    <t>AISYAH ALIFAH</t>
  </si>
  <si>
    <t>ALFANSYAH PANJI TRISULA</t>
  </si>
  <si>
    <t>ALIEF ANANTA AL RAFFI JULIANTO</t>
  </si>
  <si>
    <t>ANDI MUH FARID ALVARO SAYURI</t>
  </si>
  <si>
    <t>BAGAS ZAKI PRIONO</t>
  </si>
  <si>
    <t>BAGUS FIRMAN WIJAYA KUSUMA</t>
  </si>
  <si>
    <t>BILAL RAMADAN ASSAHRIF</t>
  </si>
  <si>
    <t>CHELSEA NAMIRA AZZAHRA</t>
  </si>
  <si>
    <t>DAVID IRWANSYAH</t>
  </si>
  <si>
    <t>ELMIRA LOUISA TARA</t>
  </si>
  <si>
    <t>FADILILLAH ACHMAD AZZAM</t>
  </si>
  <si>
    <t>HARDIAN ZAHFRAN BIMANTARA</t>
  </si>
  <si>
    <t>JIBRIL IBNU HAYYAN</t>
  </si>
  <si>
    <t>KEVIN RADITHYA PUTRA</t>
  </si>
  <si>
    <t>KEYZA RANINDITA PRASETYO</t>
  </si>
  <si>
    <t>MUHAMMAD HAIKAL HIBATULLAH</t>
  </si>
  <si>
    <t>MUHAMMAD IKSAN KUSBIANTORO</t>
  </si>
  <si>
    <t>MUHAMMAD NAUFAL RAJENDRA EKA WIDYADHANA</t>
  </si>
  <si>
    <t>MUHAMMAD RIFQY HIDAYATULLOH</t>
  </si>
  <si>
    <t>MUHAMMAD YUSUF IBRAHIM HERMAWAN</t>
  </si>
  <si>
    <t>NAMARIQ ZANZABILA FARADISA</t>
  </si>
  <si>
    <t>NATASYA NUR OKTAVIANA</t>
  </si>
  <si>
    <t>NAUFAL FATHIR ARKAN</t>
  </si>
  <si>
    <t>NURHALIZA FEVRIDA AYU PRASOJO</t>
  </si>
  <si>
    <t>RADITYA DZAKY PUTRA PRAJA</t>
  </si>
  <si>
    <t>RAKHA PUTRA DIRGANTARA</t>
  </si>
  <si>
    <t>RASYHA RAJENDRA SURYA BRAHMANA</t>
  </si>
  <si>
    <t>SASI KIRANA</t>
  </si>
  <si>
    <t>SEKAR CITRA ALOKA</t>
  </si>
  <si>
    <t>SHERRIN ARIESANTY MASFUFAH</t>
  </si>
  <si>
    <t>WIGAR LAZUARDI NUSANTARA</t>
  </si>
  <si>
    <t>AHMAD ZAKY AL KAMIL</t>
  </si>
  <si>
    <t>ALFARA IZDIHAR ABADI</t>
  </si>
  <si>
    <t>ALMIRA RAEHANA ISLAMY YARKHAM</t>
  </si>
  <si>
    <t>ANDHIKA FAIZ HERLAMBANG</t>
  </si>
  <si>
    <t>ANDI MUH FACHRY ADELIO SAYURI</t>
  </si>
  <si>
    <t>ARDHA GINANJAR PRAYOGO</t>
  </si>
  <si>
    <t>ARKA RIEZKY SOFYAN</t>
  </si>
  <si>
    <t>ARYA PUTRA ALFARIZKI</t>
  </si>
  <si>
    <t>AULIA AYU ANGGI PUTRI PRATIWI</t>
  </si>
  <si>
    <t>AZIZ BAGUS PRIANTAMA</t>
  </si>
  <si>
    <t>BUSHIDO AJIE SAPUTRA</t>
  </si>
  <si>
    <t>DE PALESTINE DMAR</t>
  </si>
  <si>
    <t>DIFO AKBAR SYAH</t>
  </si>
  <si>
    <t>FATTA NURNABIL MUSIN</t>
  </si>
  <si>
    <t>FERDIAN YOGI PRIYANANTA</t>
  </si>
  <si>
    <t>HISSY FILOSOFI PANCA</t>
  </si>
  <si>
    <t>MAGENTA BIMANTARA PUTRA</t>
  </si>
  <si>
    <t>MIA SAFINA RAHMADANI</t>
  </si>
  <si>
    <t>MUHAMMAD ARGYA IMHIL MUHAIJID</t>
  </si>
  <si>
    <t>MUHAMMAD ZHAFIR AL FAYYADH ARDYANSYAH</t>
  </si>
  <si>
    <t>MUKHAMMAD KRISNA DJANURI</t>
  </si>
  <si>
    <t>NABILA RATNA JULIANA</t>
  </si>
  <si>
    <t>NAJLA AZRINE MAGHFIROH</t>
  </si>
  <si>
    <t>NAVANO PUTRA KRISTYAWAN</t>
  </si>
  <si>
    <t>OKKY SAKTI HERINA PUTRI</t>
  </si>
  <si>
    <t>PUTRI DIAN AFIFAH</t>
  </si>
  <si>
    <t>RAFA DWI ANUGERAH IMRON</t>
  </si>
  <si>
    <t>RAIHAN AFIF MUHAJIR</t>
  </si>
  <si>
    <t>RASYA DAMAR PANULUH</t>
  </si>
  <si>
    <t>SYIFA AULIA ZAHRA</t>
  </si>
  <si>
    <t>YUDHA BRAMANTYO</t>
  </si>
  <si>
    <t>NO</t>
  </si>
  <si>
    <t>NAMA</t>
  </si>
  <si>
    <t>AGAMA</t>
  </si>
  <si>
    <t>KELAS</t>
  </si>
  <si>
    <t>ISLAM</t>
  </si>
  <si>
    <t>X-1</t>
  </si>
  <si>
    <t>X-2</t>
  </si>
  <si>
    <t>X-3</t>
  </si>
  <si>
    <t>KRISTEN</t>
  </si>
  <si>
    <t>X-4</t>
  </si>
  <si>
    <t>KATOLIK</t>
  </si>
  <si>
    <t>HINDU</t>
  </si>
  <si>
    <t>X-5</t>
  </si>
  <si>
    <t>X-6</t>
  </si>
  <si>
    <t>X-7</t>
  </si>
  <si>
    <t>X-8</t>
  </si>
  <si>
    <t>: HAJARUNI'AM H. A., S. Pd. I</t>
  </si>
  <si>
    <t>: ZAKARIA RAMADHAN, S. Pd.</t>
  </si>
  <si>
    <t>: SATYO NUGROHO, S. Kom.</t>
  </si>
  <si>
    <t>: MOH. MUSTANGIN, S. Pd.</t>
  </si>
  <si>
    <t>: RISANTI DWI K., S. Pd.</t>
  </si>
  <si>
    <t>: NANIK FEBRI A., S. Pd.</t>
  </si>
  <si>
    <t>: CHAMALIA ARDHANA R., S. Pd.</t>
  </si>
  <si>
    <t>RAHMAT RADIX SADANA</t>
  </si>
  <si>
    <t>: ISMIARTI ARIANI, S.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</si>
</sst>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3"/>
      <name val="Calibri"/>
      <family val="2"/>
    </font>
    <font>
      <sz val="10"/>
      <color indexed="8"/>
      <name val="Arial"/>
      <family val="2"/>
    </font>
    <font>
      <sz val="12"/>
      <name val="Calibri"/>
      <family val="2"/>
    </font>
    <font>
      <sz val="16"/>
      <name val="Arial"/>
      <family val="2"/>
    </font>
    <font>
      <sz val="10"/>
      <name val="Arial"/>
      <family val="2"/>
    </font>
    <font>
      <sz val="12"/>
      <color indexed="9"/>
      <name val="Arial"/>
      <family val="2"/>
    </font>
    <font>
      <b/>
      <sz val="12"/>
      <color indexed="9"/>
      <name val="Calibri"/>
      <family val="2"/>
    </font>
    <font>
      <b/>
      <sz val="12"/>
      <name val="Calibri"/>
      <family val="2"/>
    </font>
    <font>
      <sz val="12"/>
      <color indexed="9"/>
      <name val="Calibri"/>
      <family val="2"/>
    </font>
    <font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color indexed="9"/>
      <name val="Arial"/>
      <family val="2"/>
    </font>
    <font>
      <sz val="12.5"/>
      <color indexed="8"/>
      <name val="Arial"/>
      <family val="2"/>
    </font>
    <font>
      <sz val="12.5"/>
      <name val="Arial"/>
      <family val="2"/>
    </font>
    <font>
      <sz val="12.5"/>
      <color indexed="9"/>
      <name val="Arial"/>
      <family val="2"/>
    </font>
    <font>
      <b/>
      <sz val="12.5"/>
      <color indexed="8"/>
      <name val="Arial"/>
      <family val="2"/>
    </font>
    <font>
      <b/>
      <sz val="12.5"/>
      <name val="Arial"/>
      <family val="2"/>
    </font>
    <font>
      <b/>
      <sz val="12.5"/>
      <color indexed="9"/>
      <name val="Arial"/>
      <family val="2"/>
    </font>
    <font>
      <b/>
      <sz val="14.5"/>
      <name val="Arial"/>
      <family val="2"/>
    </font>
    <font>
      <sz val="14.5"/>
      <name val="Arial"/>
      <family val="2"/>
    </font>
    <font>
      <b/>
      <sz val="17"/>
      <name val="Arial"/>
      <family val="2"/>
    </font>
    <font>
      <b/>
      <sz val="17.5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4.5"/>
      <color rgb="FFFF0000"/>
      <name val="Arial"/>
      <family val="2"/>
    </font>
    <font>
      <b/>
      <sz val="12.5"/>
      <color rgb="FFFF0000"/>
      <name val="Arial"/>
      <family val="2"/>
    </font>
    <font>
      <b/>
      <sz val="13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31"/>
        <bgColor indexed="22"/>
      </patternFill>
    </fill>
    <fill>
      <patternFill patternType="solid">
        <fgColor theme="0" tint="-0.249977111117893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7" fillId="0" borderId="0"/>
    <xf numFmtId="0" fontId="7" fillId="0" borderId="0"/>
  </cellStyleXfs>
  <cellXfs count="201">
    <xf numFmtId="0" fontId="0" fillId="0" borderId="0" xfId="0"/>
    <xf numFmtId="0" fontId="7" fillId="0" borderId="0" xfId="1"/>
    <xf numFmtId="0" fontId="1" fillId="0" borderId="0" xfId="1" applyFont="1"/>
    <xf numFmtId="0" fontId="7" fillId="0" borderId="0" xfId="1" applyAlignment="1">
      <alignment vertical="center"/>
    </xf>
    <xf numFmtId="0" fontId="0" fillId="0" borderId="0" xfId="1" applyFont="1" applyAlignment="1">
      <alignment vertical="center"/>
    </xf>
    <xf numFmtId="0" fontId="3" fillId="0" borderId="0" xfId="1" applyFont="1"/>
    <xf numFmtId="0" fontId="4" fillId="0" borderId="0" xfId="1" applyFont="1"/>
    <xf numFmtId="0" fontId="6" fillId="0" borderId="0" xfId="1" applyFont="1" applyFill="1"/>
    <xf numFmtId="0" fontId="5" fillId="0" borderId="0" xfId="1" applyFont="1"/>
    <xf numFmtId="0" fontId="13" fillId="0" borderId="0" xfId="1" applyFont="1" applyBorder="1" applyAlignment="1">
      <alignment horizontal="center"/>
    </xf>
    <xf numFmtId="0" fontId="14" fillId="0" borderId="0" xfId="1" applyFont="1"/>
    <xf numFmtId="0" fontId="13" fillId="0" borderId="0" xfId="1" applyFont="1" applyBorder="1" applyAlignment="1">
      <alignment horizontal="center" vertical="center"/>
    </xf>
    <xf numFmtId="0" fontId="2" fillId="0" borderId="0" xfId="1" applyFont="1"/>
    <xf numFmtId="0" fontId="15" fillId="0" borderId="0" xfId="1" applyFont="1" applyBorder="1" applyAlignment="1">
      <alignment horizontal="right"/>
    </xf>
    <xf numFmtId="0" fontId="1" fillId="0" borderId="0" xfId="1" applyFont="1" applyAlignment="1">
      <alignment horizontal="center"/>
    </xf>
    <xf numFmtId="0" fontId="8" fillId="0" borderId="0" xfId="1" applyFont="1"/>
    <xf numFmtId="0" fontId="1" fillId="0" borderId="0" xfId="1" applyFont="1" applyAlignment="1">
      <alignment vertical="center"/>
    </xf>
    <xf numFmtId="3" fontId="16" fillId="0" borderId="1" xfId="3" applyNumberFormat="1" applyFont="1" applyBorder="1" applyAlignment="1">
      <alignment horizontal="center" vertical="center"/>
    </xf>
    <xf numFmtId="0" fontId="18" fillId="2" borderId="2" xfId="1" applyFont="1" applyFill="1" applyBorder="1" applyAlignment="1"/>
    <xf numFmtId="0" fontId="18" fillId="2" borderId="2" xfId="1" applyFont="1" applyFill="1" applyBorder="1" applyAlignment="1">
      <alignment horizontal="center"/>
    </xf>
    <xf numFmtId="0" fontId="18" fillId="2" borderId="3" xfId="1" applyFont="1" applyFill="1" applyBorder="1" applyAlignment="1">
      <alignment horizontal="center"/>
    </xf>
    <xf numFmtId="0" fontId="18" fillId="2" borderId="4" xfId="1" applyFont="1" applyFill="1" applyBorder="1" applyAlignment="1">
      <alignment horizontal="center"/>
    </xf>
    <xf numFmtId="0" fontId="18" fillId="2" borderId="5" xfId="1" applyFont="1" applyFill="1" applyBorder="1" applyAlignment="1">
      <alignment horizontal="center"/>
    </xf>
    <xf numFmtId="0" fontId="16" fillId="0" borderId="0" xfId="1" applyFont="1"/>
    <xf numFmtId="0" fontId="20" fillId="2" borderId="0" xfId="1" applyFont="1" applyFill="1" applyBorder="1" applyAlignment="1">
      <alignment horizontal="center"/>
    </xf>
    <xf numFmtId="0" fontId="17" fillId="2" borderId="0" xfId="1" applyFont="1" applyFill="1"/>
    <xf numFmtId="0" fontId="17" fillId="0" borderId="0" xfId="1" applyFont="1"/>
    <xf numFmtId="0" fontId="20" fillId="0" borderId="0" xfId="1" applyFont="1" applyBorder="1" applyAlignment="1">
      <alignment horizontal="center"/>
    </xf>
    <xf numFmtId="0" fontId="21" fillId="0" borderId="0" xfId="1" applyFont="1" applyBorder="1" applyAlignment="1">
      <alignment horizontal="right"/>
    </xf>
    <xf numFmtId="0" fontId="20" fillId="0" borderId="0" xfId="1" applyFont="1"/>
    <xf numFmtId="0" fontId="18" fillId="0" borderId="0" xfId="1" applyFont="1"/>
    <xf numFmtId="0" fontId="17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19" fillId="2" borderId="6" xfId="1" applyFont="1" applyFill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23" fillId="0" borderId="0" xfId="1" applyFont="1" applyAlignment="1">
      <alignment horizontal="left"/>
    </xf>
    <xf numFmtId="0" fontId="23" fillId="0" borderId="0" xfId="1" applyFont="1"/>
    <xf numFmtId="0" fontId="23" fillId="6" borderId="2" xfId="1" applyFont="1" applyFill="1" applyBorder="1" applyAlignment="1">
      <alignment horizontal="center" vertical="center" wrapText="1"/>
    </xf>
    <xf numFmtId="0" fontId="23" fillId="0" borderId="0" xfId="1" applyFont="1" applyAlignment="1">
      <alignment horizontal="left" vertical="top"/>
    </xf>
    <xf numFmtId="0" fontId="22" fillId="0" borderId="0" xfId="1" applyFont="1" applyAlignment="1">
      <alignment horizontal="left" vertical="top"/>
    </xf>
    <xf numFmtId="0" fontId="22" fillId="0" borderId="0" xfId="1" applyFont="1" applyAlignment="1">
      <alignment horizontal="left"/>
    </xf>
    <xf numFmtId="0" fontId="19" fillId="3" borderId="6" xfId="1" applyFont="1" applyFill="1" applyBorder="1" applyAlignment="1">
      <alignment horizontal="left" vertical="center"/>
    </xf>
    <xf numFmtId="0" fontId="19" fillId="3" borderId="1" xfId="1" applyFont="1" applyFill="1" applyBorder="1" applyAlignment="1">
      <alignment horizontal="left" vertical="center"/>
    </xf>
    <xf numFmtId="0" fontId="21" fillId="4" borderId="1" xfId="1" applyFont="1" applyFill="1" applyBorder="1" applyAlignment="1">
      <alignment horizontal="left" vertical="center"/>
    </xf>
    <xf numFmtId="0" fontId="21" fillId="4" borderId="1" xfId="1" applyFont="1" applyFill="1" applyBorder="1" applyAlignment="1">
      <alignment horizontal="center" vertical="center"/>
    </xf>
    <xf numFmtId="0" fontId="18" fillId="2" borderId="7" xfId="1" applyFont="1" applyFill="1" applyBorder="1" applyAlignment="1">
      <alignment horizontal="center"/>
    </xf>
    <xf numFmtId="0" fontId="23" fillId="6" borderId="8" xfId="1" applyFont="1" applyFill="1" applyBorder="1" applyAlignment="1">
      <alignment horizontal="center" vertical="center" wrapText="1"/>
    </xf>
    <xf numFmtId="0" fontId="23" fillId="0" borderId="0" xfId="1" applyFont="1" applyAlignment="1">
      <alignment vertical="top"/>
    </xf>
    <xf numFmtId="0" fontId="18" fillId="2" borderId="2" xfId="1" applyFont="1" applyFill="1" applyBorder="1" applyAlignment="1">
      <alignment vertical="center"/>
    </xf>
    <xf numFmtId="0" fontId="18" fillId="2" borderId="2" xfId="1" applyFont="1" applyFill="1" applyBorder="1" applyAlignment="1">
      <alignment horizontal="center" vertical="center"/>
    </xf>
    <xf numFmtId="0" fontId="18" fillId="2" borderId="8" xfId="1" applyFont="1" applyFill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16" fillId="2" borderId="0" xfId="1" applyFont="1" applyFill="1" applyAlignment="1">
      <alignment vertical="center"/>
    </xf>
    <xf numFmtId="0" fontId="20" fillId="2" borderId="0" xfId="1" applyFont="1" applyFill="1" applyBorder="1" applyAlignment="1">
      <alignment horizontal="center" vertical="center"/>
    </xf>
    <xf numFmtId="0" fontId="17" fillId="2" borderId="0" xfId="1" applyFont="1" applyFill="1" applyAlignment="1">
      <alignment vertical="center"/>
    </xf>
    <xf numFmtId="0" fontId="17" fillId="0" borderId="0" xfId="1" applyFont="1" applyAlignment="1">
      <alignment vertical="center"/>
    </xf>
    <xf numFmtId="0" fontId="20" fillId="0" borderId="0" xfId="1" applyFont="1" applyBorder="1" applyAlignment="1">
      <alignment horizontal="center" vertical="center"/>
    </xf>
    <xf numFmtId="0" fontId="21" fillId="0" borderId="0" xfId="1" applyFont="1" applyBorder="1" applyAlignment="1">
      <alignment horizontal="right" vertical="center"/>
    </xf>
    <xf numFmtId="0" fontId="20" fillId="0" borderId="0" xfId="1" applyFont="1" applyAlignment="1">
      <alignment vertical="center"/>
    </xf>
    <xf numFmtId="0" fontId="7" fillId="0" borderId="0" xfId="1" applyAlignment="1">
      <alignment vertical="top"/>
    </xf>
    <xf numFmtId="0" fontId="22" fillId="0" borderId="0" xfId="1" applyFont="1" applyAlignment="1">
      <alignment horizontal="center"/>
    </xf>
    <xf numFmtId="0" fontId="22" fillId="0" borderId="0" xfId="1" applyFont="1"/>
    <xf numFmtId="0" fontId="22" fillId="0" borderId="0" xfId="1" applyFont="1" applyAlignment="1">
      <alignment horizontal="center" vertical="top"/>
    </xf>
    <xf numFmtId="0" fontId="22" fillId="0" borderId="0" xfId="1" applyFont="1" applyAlignment="1">
      <alignment vertical="top"/>
    </xf>
    <xf numFmtId="0" fontId="23" fillId="6" borderId="9" xfId="1" applyFont="1" applyFill="1" applyBorder="1" applyAlignment="1">
      <alignment horizontal="center" vertical="center" wrapText="1"/>
    </xf>
    <xf numFmtId="0" fontId="23" fillId="6" borderId="10" xfId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vertical="center"/>
    </xf>
    <xf numFmtId="0" fontId="19" fillId="2" borderId="1" xfId="1" applyFont="1" applyFill="1" applyBorder="1" applyAlignment="1">
      <alignment horizontal="center" vertical="center"/>
    </xf>
    <xf numFmtId="0" fontId="18" fillId="2" borderId="3" xfId="1" applyFont="1" applyFill="1" applyBorder="1" applyAlignment="1">
      <alignment horizontal="center" vertical="center"/>
    </xf>
    <xf numFmtId="0" fontId="18" fillId="2" borderId="4" xfId="1" applyFont="1" applyFill="1" applyBorder="1" applyAlignment="1">
      <alignment horizontal="center" vertical="center"/>
    </xf>
    <xf numFmtId="0" fontId="18" fillId="2" borderId="5" xfId="1" applyFont="1" applyFill="1" applyBorder="1" applyAlignment="1">
      <alignment horizontal="center" vertical="center"/>
    </xf>
    <xf numFmtId="0" fontId="21" fillId="4" borderId="0" xfId="1" applyFont="1" applyFill="1" applyAlignment="1">
      <alignment horizontal="left" vertical="center"/>
    </xf>
    <xf numFmtId="0" fontId="21" fillId="4" borderId="0" xfId="1" applyFont="1" applyFill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" fillId="0" borderId="0" xfId="1" applyFont="1" applyAlignment="1">
      <alignment vertical="top"/>
    </xf>
    <xf numFmtId="0" fontId="5" fillId="0" borderId="0" xfId="1" applyFont="1" applyAlignment="1">
      <alignment vertical="center"/>
    </xf>
    <xf numFmtId="0" fontId="9" fillId="0" borderId="0" xfId="1" applyFont="1" applyBorder="1" applyAlignment="1">
      <alignment horizontal="right" vertical="center"/>
    </xf>
    <xf numFmtId="0" fontId="10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8" fillId="2" borderId="11" xfId="1" applyFont="1" applyFill="1" applyBorder="1" applyAlignment="1">
      <alignment horizontal="center" vertical="center"/>
    </xf>
    <xf numFmtId="0" fontId="18" fillId="2" borderId="1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vertical="center"/>
    </xf>
    <xf numFmtId="0" fontId="8" fillId="2" borderId="14" xfId="1" applyFont="1" applyFill="1" applyBorder="1" applyAlignment="1">
      <alignment vertical="center"/>
    </xf>
    <xf numFmtId="0" fontId="8" fillId="2" borderId="14" xfId="1" applyFont="1" applyFill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8" fillId="2" borderId="15" xfId="1" applyFont="1" applyFill="1" applyBorder="1" applyAlignment="1">
      <alignment vertical="center"/>
    </xf>
    <xf numFmtId="0" fontId="8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18" fillId="2" borderId="16" xfId="1" applyFont="1" applyFill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8" fillId="2" borderId="0" xfId="1" applyFont="1" applyFill="1" applyBorder="1" applyAlignment="1">
      <alignment vertical="center"/>
    </xf>
    <xf numFmtId="0" fontId="18" fillId="2" borderId="0" xfId="1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/>
    </xf>
    <xf numFmtId="0" fontId="23" fillId="0" borderId="0" xfId="1" applyFont="1" applyBorder="1" applyAlignment="1">
      <alignment vertical="center"/>
    </xf>
    <xf numFmtId="0" fontId="23" fillId="0" borderId="0" xfId="1" applyFont="1" applyBorder="1" applyAlignment="1">
      <alignment vertical="top"/>
    </xf>
    <xf numFmtId="0" fontId="17" fillId="0" borderId="2" xfId="0" applyFont="1" applyFill="1" applyBorder="1" applyAlignment="1">
      <alignment vertical="center" wrapText="1"/>
    </xf>
    <xf numFmtId="0" fontId="22" fillId="3" borderId="19" xfId="1" applyFont="1" applyFill="1" applyBorder="1" applyAlignment="1">
      <alignment horizontal="center" vertical="center" wrapText="1"/>
    </xf>
    <xf numFmtId="0" fontId="22" fillId="3" borderId="1" xfId="1" applyFont="1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0" fontId="26" fillId="8" borderId="2" xfId="0" applyFont="1" applyFill="1" applyBorder="1" applyAlignment="1">
      <alignment vertical="center"/>
    </xf>
    <xf numFmtId="0" fontId="17" fillId="0" borderId="0" xfId="0" applyFont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left" vertical="center"/>
    </xf>
    <xf numFmtId="0" fontId="17" fillId="9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vertical="center"/>
    </xf>
    <xf numFmtId="0" fontId="17" fillId="0" borderId="2" xfId="0" applyFont="1" applyFill="1" applyBorder="1" applyAlignment="1">
      <alignment horizontal="left" vertical="center"/>
    </xf>
    <xf numFmtId="3" fontId="0" fillId="0" borderId="0" xfId="0" applyNumberFormat="1"/>
    <xf numFmtId="0" fontId="17" fillId="0" borderId="2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vertical="center"/>
    </xf>
    <xf numFmtId="0" fontId="27" fillId="0" borderId="0" xfId="1" applyFont="1" applyAlignment="1">
      <alignment horizontal="center"/>
    </xf>
    <xf numFmtId="0" fontId="28" fillId="0" borderId="0" xfId="1" applyFont="1" applyBorder="1" applyAlignment="1">
      <alignment horizontal="center" vertical="center"/>
    </xf>
    <xf numFmtId="0" fontId="29" fillId="0" borderId="0" xfId="1" applyFont="1" applyAlignment="1">
      <alignment horizontal="center"/>
    </xf>
    <xf numFmtId="0" fontId="29" fillId="3" borderId="1" xfId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3" borderId="6" xfId="1" applyFont="1" applyFill="1" applyBorder="1" applyAlignment="1">
      <alignment horizontal="center" vertical="center"/>
    </xf>
    <xf numFmtId="0" fontId="30" fillId="3" borderId="1" xfId="1" applyFont="1" applyFill="1" applyBorder="1" applyAlignment="1">
      <alignment horizontal="center" vertical="center"/>
    </xf>
    <xf numFmtId="0" fontId="30" fillId="4" borderId="1" xfId="1" applyFont="1" applyFill="1" applyBorder="1" applyAlignment="1">
      <alignment horizontal="center" vertical="center"/>
    </xf>
    <xf numFmtId="0" fontId="30" fillId="0" borderId="0" xfId="1" applyFont="1" applyAlignment="1">
      <alignment horizontal="center"/>
    </xf>
    <xf numFmtId="0" fontId="31" fillId="0" borderId="0" xfId="1" applyFont="1" applyAlignment="1">
      <alignment horizontal="center"/>
    </xf>
    <xf numFmtId="0" fontId="18" fillId="2" borderId="8" xfId="1" applyFont="1" applyFill="1" applyBorder="1" applyAlignment="1">
      <alignment horizontal="center" vertical="center"/>
    </xf>
    <xf numFmtId="0" fontId="18" fillId="2" borderId="11" xfId="1" applyFont="1" applyFill="1" applyBorder="1" applyAlignment="1">
      <alignment horizontal="center" vertical="center"/>
    </xf>
    <xf numFmtId="0" fontId="18" fillId="2" borderId="12" xfId="1" applyFont="1" applyFill="1" applyBorder="1" applyAlignment="1">
      <alignment horizontal="center" vertical="center"/>
    </xf>
    <xf numFmtId="0" fontId="22" fillId="5" borderId="2" xfId="1" applyFont="1" applyFill="1" applyBorder="1" applyAlignment="1">
      <alignment horizontal="center" vertical="center" wrapText="1"/>
    </xf>
    <xf numFmtId="0" fontId="24" fillId="0" borderId="0" xfId="1" applyFont="1" applyBorder="1" applyAlignment="1">
      <alignment horizontal="center" vertical="top"/>
    </xf>
    <xf numFmtId="0" fontId="22" fillId="3" borderId="19" xfId="1" applyFont="1" applyFill="1" applyBorder="1" applyAlignment="1">
      <alignment horizontal="center" vertical="center" wrapText="1"/>
    </xf>
    <xf numFmtId="0" fontId="22" fillId="3" borderId="21" xfId="1" applyFont="1" applyFill="1" applyBorder="1" applyAlignment="1">
      <alignment horizontal="center" vertical="center" wrapText="1"/>
    </xf>
    <xf numFmtId="0" fontId="22" fillId="3" borderId="6" xfId="1" applyFont="1" applyFill="1" applyBorder="1" applyAlignment="1">
      <alignment horizontal="center" vertical="center" wrapText="1"/>
    </xf>
    <xf numFmtId="0" fontId="22" fillId="3" borderId="1" xfId="1" applyFont="1" applyFill="1" applyBorder="1" applyAlignment="1">
      <alignment horizontal="center" vertical="center" wrapText="1"/>
    </xf>
    <xf numFmtId="0" fontId="22" fillId="5" borderId="22" xfId="1" applyFont="1" applyFill="1" applyBorder="1" applyAlignment="1">
      <alignment horizontal="center" vertical="center" wrapText="1"/>
    </xf>
    <xf numFmtId="0" fontId="22" fillId="5" borderId="23" xfId="1" applyFont="1" applyFill="1" applyBorder="1" applyAlignment="1">
      <alignment horizontal="center" vertical="center" wrapText="1"/>
    </xf>
    <xf numFmtId="0" fontId="22" fillId="5" borderId="24" xfId="1" applyFont="1" applyFill="1" applyBorder="1" applyAlignment="1">
      <alignment horizontal="center" vertical="center" wrapText="1"/>
    </xf>
    <xf numFmtId="0" fontId="22" fillId="5" borderId="25" xfId="1" applyFont="1" applyFill="1" applyBorder="1" applyAlignment="1">
      <alignment horizontal="center" vertical="center" wrapText="1"/>
    </xf>
    <xf numFmtId="0" fontId="22" fillId="5" borderId="3" xfId="1" applyFont="1" applyFill="1" applyBorder="1" applyAlignment="1">
      <alignment horizontal="center" vertical="center" wrapText="1"/>
    </xf>
    <xf numFmtId="0" fontId="22" fillId="5" borderId="4" xfId="1" applyFont="1" applyFill="1" applyBorder="1" applyAlignment="1">
      <alignment horizontal="center" vertical="center" wrapText="1"/>
    </xf>
    <xf numFmtId="0" fontId="23" fillId="0" borderId="0" xfId="1" applyFont="1" applyAlignment="1">
      <alignment horizontal="left" vertical="top"/>
    </xf>
    <xf numFmtId="0" fontId="21" fillId="0" borderId="0" xfId="1" applyFont="1" applyBorder="1" applyAlignment="1">
      <alignment horizontal="right" vertical="center"/>
    </xf>
    <xf numFmtId="0" fontId="22" fillId="3" borderId="31" xfId="1" applyFont="1" applyFill="1" applyBorder="1" applyAlignment="1">
      <alignment horizontal="center" vertical="center" wrapText="1"/>
    </xf>
    <xf numFmtId="0" fontId="22" fillId="5" borderId="5" xfId="1" applyFont="1" applyFill="1" applyBorder="1" applyAlignment="1">
      <alignment horizontal="center" vertical="center" wrapText="1"/>
    </xf>
    <xf numFmtId="0" fontId="22" fillId="5" borderId="26" xfId="1" applyFont="1" applyFill="1" applyBorder="1" applyAlignment="1">
      <alignment horizontal="center" vertical="center" wrapText="1"/>
    </xf>
    <xf numFmtId="0" fontId="22" fillId="5" borderId="32" xfId="1" applyFont="1" applyFill="1" applyBorder="1" applyAlignment="1">
      <alignment horizontal="center" vertical="center" wrapText="1"/>
    </xf>
    <xf numFmtId="0" fontId="22" fillId="5" borderId="15" xfId="1" applyFont="1" applyFill="1" applyBorder="1" applyAlignment="1">
      <alignment horizontal="center" vertical="center" wrapText="1"/>
    </xf>
    <xf numFmtId="0" fontId="22" fillId="5" borderId="0" xfId="1" applyFont="1" applyFill="1" applyBorder="1" applyAlignment="1">
      <alignment horizontal="center" vertical="center" wrapText="1"/>
    </xf>
    <xf numFmtId="0" fontId="22" fillId="5" borderId="27" xfId="1" applyFont="1" applyFill="1" applyBorder="1" applyAlignment="1">
      <alignment horizontal="center" vertical="center" wrapText="1"/>
    </xf>
    <xf numFmtId="0" fontId="22" fillId="5" borderId="28" xfId="1" applyFont="1" applyFill="1" applyBorder="1" applyAlignment="1">
      <alignment horizontal="center" vertical="center" wrapText="1"/>
    </xf>
    <xf numFmtId="0" fontId="22" fillId="5" borderId="29" xfId="1" applyFont="1" applyFill="1" applyBorder="1" applyAlignment="1">
      <alignment horizontal="center" vertical="center" wrapText="1"/>
    </xf>
    <xf numFmtId="0" fontId="22" fillId="5" borderId="30" xfId="1" applyFont="1" applyFill="1" applyBorder="1" applyAlignment="1">
      <alignment horizontal="center" vertical="center" wrapText="1"/>
    </xf>
    <xf numFmtId="0" fontId="21" fillId="0" borderId="23" xfId="1" applyFont="1" applyBorder="1" applyAlignment="1">
      <alignment horizontal="right"/>
    </xf>
    <xf numFmtId="0" fontId="18" fillId="2" borderId="7" xfId="1" applyFont="1" applyFill="1" applyBorder="1" applyAlignment="1">
      <alignment horizontal="center"/>
    </xf>
    <xf numFmtId="0" fontId="18" fillId="2" borderId="4" xfId="1" applyFont="1" applyFill="1" applyBorder="1" applyAlignment="1">
      <alignment horizontal="center"/>
    </xf>
    <xf numFmtId="0" fontId="18" fillId="2" borderId="5" xfId="1" applyFont="1" applyFill="1" applyBorder="1" applyAlignment="1">
      <alignment horizontal="center"/>
    </xf>
    <xf numFmtId="0" fontId="18" fillId="2" borderId="1" xfId="1" applyFont="1" applyFill="1" applyBorder="1" applyAlignment="1">
      <alignment horizontal="center" vertical="center"/>
    </xf>
    <xf numFmtId="0" fontId="18" fillId="2" borderId="7" xfId="1" applyFont="1" applyFill="1" applyBorder="1" applyAlignment="1">
      <alignment horizontal="center" vertical="center"/>
    </xf>
    <xf numFmtId="0" fontId="18" fillId="2" borderId="4" xfId="1" applyFont="1" applyFill="1" applyBorder="1" applyAlignment="1">
      <alignment horizontal="center" vertical="center"/>
    </xf>
    <xf numFmtId="0" fontId="18" fillId="2" borderId="5" xfId="1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9" fillId="0" borderId="23" xfId="1" applyFont="1" applyBorder="1" applyAlignment="1">
      <alignment horizontal="right" vertical="center"/>
    </xf>
    <xf numFmtId="0" fontId="25" fillId="0" borderId="0" xfId="1" applyFont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15" fillId="0" borderId="0" xfId="1" applyFont="1" applyBorder="1" applyAlignment="1">
      <alignment horizontal="right"/>
    </xf>
    <xf numFmtId="0" fontId="22" fillId="5" borderId="33" xfId="1" applyFont="1" applyFill="1" applyBorder="1" applyAlignment="1">
      <alignment horizontal="center" vertical="center" wrapText="1"/>
    </xf>
    <xf numFmtId="0" fontId="22" fillId="5" borderId="34" xfId="1" applyFont="1" applyFill="1" applyBorder="1" applyAlignment="1">
      <alignment horizontal="center" vertical="center" wrapText="1"/>
    </xf>
    <xf numFmtId="0" fontId="22" fillId="5" borderId="35" xfId="1" applyFont="1" applyFill="1" applyBorder="1" applyAlignment="1">
      <alignment horizontal="center" vertical="center" wrapText="1"/>
    </xf>
    <xf numFmtId="0" fontId="23" fillId="0" borderId="0" xfId="1" applyFont="1" applyAlignment="1">
      <alignment horizontal="left"/>
    </xf>
    <xf numFmtId="0" fontId="18" fillId="2" borderId="17" xfId="1" applyFont="1" applyFill="1" applyBorder="1" applyAlignment="1">
      <alignment horizontal="center" vertical="center"/>
    </xf>
    <xf numFmtId="0" fontId="18" fillId="2" borderId="16" xfId="1" applyFont="1" applyFill="1" applyBorder="1" applyAlignment="1">
      <alignment horizontal="center" vertical="center"/>
    </xf>
    <xf numFmtId="0" fontId="21" fillId="0" borderId="0" xfId="1" applyFont="1" applyBorder="1" applyAlignment="1">
      <alignment horizontal="right"/>
    </xf>
    <xf numFmtId="0" fontId="18" fillId="2" borderId="3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23" fillId="0" borderId="0" xfId="1" applyFont="1" applyAlignment="1"/>
    <xf numFmtId="0" fontId="26" fillId="8" borderId="36" xfId="0" applyFont="1" applyFill="1" applyBorder="1" applyAlignment="1">
      <alignment horizontal="center" vertical="center"/>
    </xf>
    <xf numFmtId="0" fontId="26" fillId="8" borderId="20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</cellXfs>
  <cellStyles count="4">
    <cellStyle name="Excel Built-in Normal" xfId="1"/>
    <cellStyle name="Normal" xfId="0" builtinId="0"/>
    <cellStyle name="Normal 2" xfId="2"/>
    <cellStyle name="Normal_kls x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186017</xdr:colOff>
      <xdr:row>56</xdr:row>
      <xdr:rowOff>197468</xdr:rowOff>
    </xdr:from>
    <xdr:ext cx="2987958" cy="1682131"/>
    <xdr:sp macro="" textlink="">
      <xdr:nvSpPr>
        <xdr:cNvPr id="3" name="TextBox 2"/>
        <xdr:cNvSpPr txBox="1"/>
      </xdr:nvSpPr>
      <xdr:spPr>
        <a:xfrm>
          <a:off x="8657975" y="15369735"/>
          <a:ext cx="2983692" cy="16821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300">
              <a:latin typeface="+mn-lt"/>
            </a:rPr>
            <a:t>Kediri,</a:t>
          </a:r>
          <a:r>
            <a:rPr lang="en-US" sz="1300" baseline="0">
              <a:latin typeface="+mn-lt"/>
            </a:rPr>
            <a:t> ......................................................</a:t>
          </a:r>
        </a:p>
        <a:p>
          <a:r>
            <a:rPr lang="en-US" sz="1300" baseline="0">
              <a:latin typeface="+mn-lt"/>
            </a:rPr>
            <a:t>	Pengajar,</a:t>
          </a:r>
        </a:p>
        <a:p>
          <a:endParaRPr lang="en-US" sz="1300" baseline="0">
            <a:latin typeface="+mn-lt"/>
          </a:endParaRPr>
        </a:p>
        <a:p>
          <a:endParaRPr lang="en-US" sz="1300" baseline="0">
            <a:latin typeface="+mn-lt"/>
          </a:endParaRPr>
        </a:p>
        <a:p>
          <a:endParaRPr lang="en-US" sz="1300" baseline="0">
            <a:latin typeface="+mn-lt"/>
          </a:endParaRPr>
        </a:p>
        <a:p>
          <a:endParaRPr lang="en-US" sz="1300" baseline="0">
            <a:latin typeface="+mn-lt"/>
          </a:endParaRPr>
        </a:p>
        <a:p>
          <a:r>
            <a:rPr lang="en-US" sz="1300" baseline="0">
              <a:latin typeface="+mn-lt"/>
            </a:rPr>
            <a:t>.................................................................</a:t>
          </a:r>
          <a:endParaRPr lang="en-US" sz="1300">
            <a:latin typeface="+mn-lt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25</xdr:col>
      <xdr:colOff>257175</xdr:colOff>
      <xdr:row>12</xdr:row>
      <xdr:rowOff>0</xdr:rowOff>
    </xdr:to>
    <xdr:pic>
      <xdr:nvPicPr>
        <xdr:cNvPr id="157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91950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196850</xdr:colOff>
      <xdr:row>57</xdr:row>
      <xdr:rowOff>80495</xdr:rowOff>
    </xdr:from>
    <xdr:ext cx="3016250" cy="1625512"/>
    <xdr:sp macro="" textlink="">
      <xdr:nvSpPr>
        <xdr:cNvPr id="6" name="TextBox 5"/>
        <xdr:cNvSpPr txBox="1"/>
      </xdr:nvSpPr>
      <xdr:spPr>
        <a:xfrm>
          <a:off x="8583083" y="15262287"/>
          <a:ext cx="3016250" cy="1612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300"/>
            <a:t>Kediri,</a:t>
          </a:r>
          <a:r>
            <a:rPr lang="en-US" sz="1300" baseline="0"/>
            <a:t> ....................................................</a:t>
          </a:r>
        </a:p>
        <a:p>
          <a:r>
            <a:rPr lang="en-US" sz="1300" baseline="0"/>
            <a:t>	Pengajar,</a:t>
          </a:r>
        </a:p>
        <a:p>
          <a:endParaRPr lang="en-US" sz="1300" baseline="0"/>
        </a:p>
        <a:p>
          <a:endParaRPr lang="en-US" sz="1300" baseline="0"/>
        </a:p>
        <a:p>
          <a:endParaRPr lang="en-US" sz="1300" baseline="0"/>
        </a:p>
        <a:p>
          <a:endParaRPr lang="en-US" sz="1300" baseline="0"/>
        </a:p>
        <a:p>
          <a:r>
            <a:rPr lang="en-US" sz="1300" baseline="0"/>
            <a:t>................................................................</a:t>
          </a:r>
          <a:endParaRPr lang="en-US" sz="1300"/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25</xdr:col>
      <xdr:colOff>257175</xdr:colOff>
      <xdr:row>12</xdr:row>
      <xdr:rowOff>19050</xdr:rowOff>
    </xdr:to>
    <xdr:pic>
      <xdr:nvPicPr>
        <xdr:cNvPr id="260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871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57</xdr:row>
      <xdr:rowOff>180975</xdr:rowOff>
    </xdr:from>
    <xdr:to>
      <xdr:col>23</xdr:col>
      <xdr:colOff>85725</xdr:colOff>
      <xdr:row>63</xdr:row>
      <xdr:rowOff>9525</xdr:rowOff>
    </xdr:to>
    <xdr:pic>
      <xdr:nvPicPr>
        <xdr:cNvPr id="3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17192625"/>
          <a:ext cx="26574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19050</xdr:rowOff>
    </xdr:from>
    <xdr:to>
      <xdr:col>25</xdr:col>
      <xdr:colOff>257175</xdr:colOff>
      <xdr:row>12</xdr:row>
      <xdr:rowOff>9525</xdr:rowOff>
    </xdr:to>
    <xdr:pic>
      <xdr:nvPicPr>
        <xdr:cNvPr id="362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14871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59</xdr:row>
      <xdr:rowOff>47625</xdr:rowOff>
    </xdr:from>
    <xdr:to>
      <xdr:col>23</xdr:col>
      <xdr:colOff>104775</xdr:colOff>
      <xdr:row>65</xdr:row>
      <xdr:rowOff>161925</xdr:rowOff>
    </xdr:to>
    <xdr:pic>
      <xdr:nvPicPr>
        <xdr:cNvPr id="4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7830800"/>
          <a:ext cx="266700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47625</xdr:colOff>
      <xdr:row>12</xdr:row>
      <xdr:rowOff>57150</xdr:rowOff>
    </xdr:to>
    <xdr:pic>
      <xdr:nvPicPr>
        <xdr:cNvPr id="465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5382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57</xdr:row>
      <xdr:rowOff>166755</xdr:rowOff>
    </xdr:from>
    <xdr:to>
      <xdr:col>23</xdr:col>
      <xdr:colOff>95250</xdr:colOff>
      <xdr:row>63</xdr:row>
      <xdr:rowOff>133753</xdr:rowOff>
    </xdr:to>
    <xdr:pic>
      <xdr:nvPicPr>
        <xdr:cNvPr id="14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8828" y="17284924"/>
          <a:ext cx="2712478" cy="1576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266700</xdr:colOff>
      <xdr:row>12</xdr:row>
      <xdr:rowOff>9525</xdr:rowOff>
    </xdr:to>
    <xdr:pic>
      <xdr:nvPicPr>
        <xdr:cNvPr id="1447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966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58</xdr:row>
      <xdr:rowOff>295275</xdr:rowOff>
    </xdr:from>
    <xdr:to>
      <xdr:col>23</xdr:col>
      <xdr:colOff>104775</xdr:colOff>
      <xdr:row>65</xdr:row>
      <xdr:rowOff>28575</xdr:rowOff>
    </xdr:to>
    <xdr:pic>
      <xdr:nvPicPr>
        <xdr:cNvPr id="6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7687925"/>
          <a:ext cx="266700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266700</xdr:colOff>
      <xdr:row>12</xdr:row>
      <xdr:rowOff>9525</xdr:rowOff>
    </xdr:to>
    <xdr:pic>
      <xdr:nvPicPr>
        <xdr:cNvPr id="669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966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56</xdr:row>
      <xdr:rowOff>9525</xdr:rowOff>
    </xdr:from>
    <xdr:to>
      <xdr:col>23</xdr:col>
      <xdr:colOff>85725</xdr:colOff>
      <xdr:row>62</xdr:row>
      <xdr:rowOff>123826</xdr:rowOff>
    </xdr:to>
    <xdr:pic>
      <xdr:nvPicPr>
        <xdr:cNvPr id="7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17021175"/>
          <a:ext cx="2657475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266700</xdr:colOff>
      <xdr:row>12</xdr:row>
      <xdr:rowOff>47625</xdr:rowOff>
    </xdr:to>
    <xdr:pic>
      <xdr:nvPicPr>
        <xdr:cNvPr id="772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96675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200025</xdr:colOff>
      <xdr:row>55</xdr:row>
      <xdr:rowOff>133350</xdr:rowOff>
    </xdr:from>
    <xdr:to>
      <xdr:col>24</xdr:col>
      <xdr:colOff>95250</xdr:colOff>
      <xdr:row>61</xdr:row>
      <xdr:rowOff>85725</xdr:rowOff>
    </xdr:to>
    <xdr:pic>
      <xdr:nvPicPr>
        <xdr:cNvPr id="9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6383000"/>
          <a:ext cx="2657475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63500</xdr:colOff>
      <xdr:row>12</xdr:row>
      <xdr:rowOff>19050</xdr:rowOff>
    </xdr:to>
    <xdr:pic>
      <xdr:nvPicPr>
        <xdr:cNvPr id="9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9667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tabSelected="1" view="pageBreakPreview" topLeftCell="A34" zoomScale="75" zoomScaleNormal="75" zoomScaleSheetLayoutView="75" workbookViewId="0">
      <selection activeCell="U46" sqref="T46:Z46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0" width="4.42578125" style="1" customWidth="1"/>
    <col min="21" max="26" width="4.140625" style="1" customWidth="1"/>
    <col min="27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7.100000000000001" customHeight="1" x14ac:dyDescent="0.2"/>
    <row r="14" spans="1:26" ht="20.45" customHeight="1" x14ac:dyDescent="0.2">
      <c r="A14" s="147" t="s">
        <v>13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1.6" customHeight="1" x14ac:dyDescent="0.2">
      <c r="A15" s="147" t="s">
        <v>29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12.6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s="62" customFormat="1" ht="17.100000000000001" customHeight="1" x14ac:dyDescent="0.2">
      <c r="A17" s="41"/>
      <c r="B17" s="41"/>
      <c r="C17" s="41"/>
      <c r="D17" s="41"/>
      <c r="E17" s="110"/>
      <c r="F17" s="110"/>
      <c r="G17" s="110"/>
      <c r="H17" s="41"/>
      <c r="I17" s="41"/>
      <c r="J17" s="41"/>
      <c r="K17" s="41"/>
      <c r="L17" s="41"/>
      <c r="M17" s="41" t="s">
        <v>0</v>
      </c>
      <c r="N17" s="41"/>
      <c r="O17" s="41"/>
      <c r="P17" s="41"/>
      <c r="Q17" s="42" t="s">
        <v>21</v>
      </c>
      <c r="R17" s="42"/>
      <c r="S17" s="41"/>
      <c r="T17" s="41"/>
      <c r="U17" s="41"/>
      <c r="V17" s="41"/>
      <c r="W17" s="41"/>
      <c r="X17" s="41"/>
      <c r="Y17" s="41"/>
      <c r="Z17" s="41"/>
    </row>
    <row r="18" spans="1:26" s="62" customFormat="1" ht="17.100000000000001" customHeight="1" x14ac:dyDescent="0.2">
      <c r="A18" s="42" t="s">
        <v>16</v>
      </c>
      <c r="B18" s="41"/>
      <c r="C18" s="41"/>
      <c r="D18" s="41"/>
      <c r="E18" s="110"/>
      <c r="F18" s="110"/>
      <c r="G18" s="110"/>
      <c r="H18" s="41"/>
      <c r="I18" s="41"/>
      <c r="J18" s="41"/>
      <c r="K18" s="41"/>
      <c r="L18" s="41"/>
      <c r="M18" s="158" t="s">
        <v>1</v>
      </c>
      <c r="N18" s="158"/>
      <c r="O18" s="158"/>
      <c r="P18" s="158"/>
      <c r="Q18" s="42" t="s">
        <v>321</v>
      </c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2.6" customHeight="1" x14ac:dyDescent="0.2"/>
    <row r="20" spans="1:26" s="10" customFormat="1" ht="20.100000000000001" customHeight="1" x14ac:dyDescent="0.25">
      <c r="A20" s="148" t="s">
        <v>2</v>
      </c>
      <c r="B20" s="148" t="s">
        <v>3</v>
      </c>
      <c r="C20" s="151" t="s">
        <v>4</v>
      </c>
      <c r="D20" s="151" t="s">
        <v>5</v>
      </c>
      <c r="E20" s="156" t="s">
        <v>6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46" t="s">
        <v>14</v>
      </c>
      <c r="V20" s="146"/>
      <c r="W20" s="146"/>
      <c r="X20" s="146"/>
      <c r="Y20" s="146"/>
      <c r="Z20" s="146"/>
    </row>
    <row r="21" spans="1:26" s="10" customFormat="1" ht="17.100000000000001" customHeight="1" x14ac:dyDescent="0.25">
      <c r="A21" s="149"/>
      <c r="B21" s="149"/>
      <c r="C21" s="151"/>
      <c r="D21" s="151"/>
      <c r="E21" s="152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46"/>
      <c r="V21" s="146"/>
      <c r="W21" s="146"/>
      <c r="X21" s="146"/>
      <c r="Y21" s="146"/>
      <c r="Z21" s="146"/>
    </row>
    <row r="22" spans="1:26" s="10" customFormat="1" ht="17.100000000000001" customHeight="1" x14ac:dyDescent="0.25">
      <c r="A22" s="149"/>
      <c r="B22" s="149"/>
      <c r="C22" s="151"/>
      <c r="D22" s="151"/>
      <c r="E22" s="154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46"/>
      <c r="V22" s="146"/>
      <c r="W22" s="146"/>
      <c r="X22" s="146"/>
      <c r="Y22" s="146"/>
      <c r="Z22" s="146"/>
    </row>
    <row r="23" spans="1:26" s="10" customFormat="1" ht="20.100000000000001" customHeight="1" x14ac:dyDescent="0.25">
      <c r="A23" s="150"/>
      <c r="B23" s="150"/>
      <c r="C23" s="151"/>
      <c r="D23" s="151"/>
      <c r="E23" s="40">
        <v>1</v>
      </c>
      <c r="F23" s="40">
        <v>2</v>
      </c>
      <c r="G23" s="40">
        <v>3</v>
      </c>
      <c r="H23" s="40">
        <v>4</v>
      </c>
      <c r="I23" s="40">
        <v>5</v>
      </c>
      <c r="J23" s="40">
        <v>6</v>
      </c>
      <c r="K23" s="40">
        <v>7</v>
      </c>
      <c r="L23" s="40">
        <v>8</v>
      </c>
      <c r="M23" s="40">
        <v>9</v>
      </c>
      <c r="N23" s="40">
        <v>10</v>
      </c>
      <c r="O23" s="40">
        <v>11</v>
      </c>
      <c r="P23" s="40">
        <v>12</v>
      </c>
      <c r="Q23" s="40">
        <v>13</v>
      </c>
      <c r="R23" s="40">
        <v>14</v>
      </c>
      <c r="S23" s="40">
        <v>15</v>
      </c>
      <c r="T23" s="49">
        <v>16</v>
      </c>
      <c r="U23" s="146"/>
      <c r="V23" s="146"/>
      <c r="W23" s="146"/>
      <c r="X23" s="146"/>
      <c r="Y23" s="146"/>
      <c r="Z23" s="146"/>
    </row>
    <row r="24" spans="1:26" s="3" customFormat="1" ht="30" customHeight="1" x14ac:dyDescent="0.2">
      <c r="A24" s="17">
        <v>1</v>
      </c>
      <c r="B24" s="106">
        <v>12206</v>
      </c>
      <c r="C24" s="31" t="s">
        <v>30</v>
      </c>
      <c r="D24" s="32" t="s">
        <v>7</v>
      </c>
      <c r="E24" s="51">
        <v>1</v>
      </c>
      <c r="F24" s="51"/>
      <c r="G24" s="51"/>
      <c r="H24" s="52"/>
      <c r="I24" s="52"/>
      <c r="J24" s="52"/>
      <c r="K24" s="52"/>
      <c r="L24" s="52"/>
      <c r="M24" s="51"/>
      <c r="N24" s="51"/>
      <c r="O24" s="51"/>
      <c r="P24" s="51">
        <v>1</v>
      </c>
      <c r="Q24" s="51"/>
      <c r="R24" s="51"/>
      <c r="S24" s="51"/>
      <c r="T24" s="53">
        <v>1</v>
      </c>
      <c r="U24" s="143">
        <v>1</v>
      </c>
      <c r="V24" s="144"/>
      <c r="W24" s="144"/>
      <c r="X24" s="144"/>
      <c r="Y24" s="144"/>
      <c r="Z24" s="145"/>
    </row>
    <row r="25" spans="1:26" s="3" customFormat="1" ht="30" customHeight="1" x14ac:dyDescent="0.2">
      <c r="A25" s="17">
        <v>2</v>
      </c>
      <c r="B25" s="106">
        <v>12217</v>
      </c>
      <c r="C25" s="31" t="s">
        <v>31</v>
      </c>
      <c r="D25" s="32" t="s">
        <v>7</v>
      </c>
      <c r="E25" s="51"/>
      <c r="F25" s="51"/>
      <c r="G25" s="51"/>
      <c r="H25" s="52"/>
      <c r="I25" s="52"/>
      <c r="J25" s="52"/>
      <c r="K25" s="52"/>
      <c r="L25" s="52"/>
      <c r="M25" s="51"/>
      <c r="N25" s="51"/>
      <c r="O25" s="51"/>
      <c r="P25" s="51">
        <v>1</v>
      </c>
      <c r="Q25" s="51"/>
      <c r="R25" s="51"/>
      <c r="S25" s="51"/>
      <c r="T25" s="53">
        <v>1</v>
      </c>
      <c r="U25" s="143">
        <v>1</v>
      </c>
      <c r="V25" s="144"/>
      <c r="W25" s="144"/>
      <c r="X25" s="144"/>
      <c r="Y25" s="144"/>
      <c r="Z25" s="145"/>
    </row>
    <row r="26" spans="1:26" s="3" customFormat="1" ht="30" customHeight="1" x14ac:dyDescent="0.2">
      <c r="A26" s="17">
        <v>3</v>
      </c>
      <c r="B26" s="106">
        <v>12222</v>
      </c>
      <c r="C26" s="33" t="s">
        <v>32</v>
      </c>
      <c r="D26" s="34" t="s">
        <v>7</v>
      </c>
      <c r="E26" s="51"/>
      <c r="F26" s="51"/>
      <c r="G26" s="51"/>
      <c r="H26" s="52"/>
      <c r="I26" s="52"/>
      <c r="J26" s="52"/>
      <c r="K26" s="52"/>
      <c r="L26" s="52"/>
      <c r="M26" s="51"/>
      <c r="N26" s="51"/>
      <c r="O26" s="51"/>
      <c r="P26" s="51">
        <v>1</v>
      </c>
      <c r="Q26" s="51"/>
      <c r="R26" s="51"/>
      <c r="S26" s="51"/>
      <c r="T26" s="53">
        <v>1</v>
      </c>
      <c r="U26" s="143">
        <v>1</v>
      </c>
      <c r="V26" s="144"/>
      <c r="W26" s="144"/>
      <c r="X26" s="144"/>
      <c r="Y26" s="144"/>
      <c r="Z26" s="145"/>
    </row>
    <row r="27" spans="1:26" s="3" customFormat="1" ht="30" customHeight="1" x14ac:dyDescent="0.2">
      <c r="A27" s="17">
        <v>4</v>
      </c>
      <c r="B27" s="106">
        <v>12242</v>
      </c>
      <c r="C27" s="33" t="s">
        <v>33</v>
      </c>
      <c r="D27" s="34" t="s">
        <v>7</v>
      </c>
      <c r="E27" s="51"/>
      <c r="F27" s="51"/>
      <c r="G27" s="51"/>
      <c r="H27" s="52"/>
      <c r="I27" s="52"/>
      <c r="J27" s="52"/>
      <c r="K27" s="52"/>
      <c r="L27" s="52"/>
      <c r="M27" s="51"/>
      <c r="N27" s="51"/>
      <c r="O27" s="51"/>
      <c r="P27" s="51">
        <v>1</v>
      </c>
      <c r="Q27" s="51"/>
      <c r="R27" s="51"/>
      <c r="S27" s="51"/>
      <c r="T27" s="53">
        <v>1</v>
      </c>
      <c r="U27" s="143">
        <v>1</v>
      </c>
      <c r="V27" s="144"/>
      <c r="W27" s="144"/>
      <c r="X27" s="144"/>
      <c r="Y27" s="144"/>
      <c r="Z27" s="145"/>
    </row>
    <row r="28" spans="1:26" s="3" customFormat="1" ht="30" customHeight="1" x14ac:dyDescent="0.2">
      <c r="A28" s="17">
        <v>5</v>
      </c>
      <c r="B28" s="106">
        <v>12245</v>
      </c>
      <c r="C28" s="112" t="s">
        <v>34</v>
      </c>
      <c r="D28" s="32" t="s">
        <v>7</v>
      </c>
      <c r="E28" s="51"/>
      <c r="F28" s="51"/>
      <c r="G28" s="51"/>
      <c r="H28" s="52"/>
      <c r="I28" s="52"/>
      <c r="J28" s="52"/>
      <c r="K28" s="52"/>
      <c r="L28" s="52"/>
      <c r="M28" s="51"/>
      <c r="N28" s="51"/>
      <c r="O28" s="51"/>
      <c r="P28" s="51">
        <v>1</v>
      </c>
      <c r="Q28" s="51"/>
      <c r="R28" s="51"/>
      <c r="S28" s="51"/>
      <c r="T28" s="53">
        <v>1</v>
      </c>
      <c r="U28" s="143">
        <v>1</v>
      </c>
      <c r="V28" s="144"/>
      <c r="W28" s="144"/>
      <c r="X28" s="144"/>
      <c r="Y28" s="144"/>
      <c r="Z28" s="145"/>
    </row>
    <row r="29" spans="1:26" s="3" customFormat="1" ht="30" customHeight="1" x14ac:dyDescent="0.2">
      <c r="A29" s="17">
        <v>6</v>
      </c>
      <c r="B29" s="106">
        <v>12255</v>
      </c>
      <c r="C29" s="129" t="s">
        <v>35</v>
      </c>
      <c r="D29" s="34" t="s">
        <v>8</v>
      </c>
      <c r="E29" s="51"/>
      <c r="F29" s="51"/>
      <c r="G29" s="51"/>
      <c r="H29" s="52"/>
      <c r="I29" s="52"/>
      <c r="J29" s="52"/>
      <c r="K29" s="52"/>
      <c r="L29" s="52"/>
      <c r="M29" s="51"/>
      <c r="N29" s="51"/>
      <c r="O29" s="51"/>
      <c r="P29" s="51">
        <v>1</v>
      </c>
      <c r="Q29" s="51"/>
      <c r="R29" s="51"/>
      <c r="S29" s="51"/>
      <c r="T29" s="53">
        <v>1</v>
      </c>
      <c r="U29" s="143">
        <v>1</v>
      </c>
      <c r="V29" s="144"/>
      <c r="W29" s="144"/>
      <c r="X29" s="144"/>
      <c r="Y29" s="144"/>
      <c r="Z29" s="145"/>
    </row>
    <row r="30" spans="1:26" s="3" customFormat="1" ht="30" customHeight="1" x14ac:dyDescent="0.2">
      <c r="A30" s="17">
        <v>7</v>
      </c>
      <c r="B30" s="106">
        <v>12256</v>
      </c>
      <c r="C30" s="112" t="s">
        <v>36</v>
      </c>
      <c r="D30" s="32" t="s">
        <v>7</v>
      </c>
      <c r="E30" s="51"/>
      <c r="F30" s="51"/>
      <c r="G30" s="51"/>
      <c r="H30" s="52"/>
      <c r="I30" s="52"/>
      <c r="J30" s="52"/>
      <c r="K30" s="52"/>
      <c r="L30" s="52"/>
      <c r="M30" s="51"/>
      <c r="N30" s="51"/>
      <c r="O30" s="51"/>
      <c r="P30" s="51">
        <v>1</v>
      </c>
      <c r="Q30" s="51"/>
      <c r="R30" s="51"/>
      <c r="S30" s="51"/>
      <c r="T30" s="53">
        <v>1</v>
      </c>
      <c r="U30" s="143">
        <v>1</v>
      </c>
      <c r="V30" s="144"/>
      <c r="W30" s="144"/>
      <c r="X30" s="144"/>
      <c r="Y30" s="144"/>
      <c r="Z30" s="145"/>
    </row>
    <row r="31" spans="1:26" s="3" customFormat="1" ht="30" customHeight="1" x14ac:dyDescent="0.2">
      <c r="A31" s="17">
        <v>8</v>
      </c>
      <c r="B31" s="106">
        <v>12261</v>
      </c>
      <c r="C31" s="112" t="s">
        <v>37</v>
      </c>
      <c r="D31" s="32" t="s">
        <v>7</v>
      </c>
      <c r="E31" s="51"/>
      <c r="F31" s="51"/>
      <c r="G31" s="51"/>
      <c r="H31" s="52"/>
      <c r="I31" s="52"/>
      <c r="J31" s="52"/>
      <c r="K31" s="52"/>
      <c r="L31" s="52"/>
      <c r="M31" s="51"/>
      <c r="N31" s="51"/>
      <c r="O31" s="51"/>
      <c r="P31" s="51">
        <v>1</v>
      </c>
      <c r="Q31" s="51"/>
      <c r="R31" s="51"/>
      <c r="S31" s="51"/>
      <c r="T31" s="53">
        <v>1</v>
      </c>
      <c r="U31" s="143">
        <v>1</v>
      </c>
      <c r="V31" s="144"/>
      <c r="W31" s="144"/>
      <c r="X31" s="144"/>
      <c r="Y31" s="144"/>
      <c r="Z31" s="145"/>
    </row>
    <row r="32" spans="1:26" s="3" customFormat="1" ht="30" customHeight="1" x14ac:dyDescent="0.2">
      <c r="A32" s="17">
        <v>9</v>
      </c>
      <c r="B32" s="106">
        <v>12266</v>
      </c>
      <c r="C32" s="112" t="s">
        <v>38</v>
      </c>
      <c r="D32" s="32" t="s">
        <v>8</v>
      </c>
      <c r="E32" s="51"/>
      <c r="F32" s="51"/>
      <c r="G32" s="51"/>
      <c r="H32" s="52"/>
      <c r="I32" s="52"/>
      <c r="J32" s="52"/>
      <c r="K32" s="52"/>
      <c r="L32" s="52"/>
      <c r="M32" s="51"/>
      <c r="N32" s="51"/>
      <c r="O32" s="51"/>
      <c r="P32" s="51">
        <v>1</v>
      </c>
      <c r="Q32" s="51"/>
      <c r="R32" s="51"/>
      <c r="S32" s="51"/>
      <c r="T32" s="53">
        <v>1</v>
      </c>
      <c r="U32" s="143">
        <v>1</v>
      </c>
      <c r="V32" s="144"/>
      <c r="W32" s="144"/>
      <c r="X32" s="144"/>
      <c r="Y32" s="144"/>
      <c r="Z32" s="145"/>
    </row>
    <row r="33" spans="1:26" s="3" customFormat="1" ht="30" customHeight="1" x14ac:dyDescent="0.2">
      <c r="A33" s="17">
        <v>10</v>
      </c>
      <c r="B33" s="106">
        <v>12268</v>
      </c>
      <c r="C33" s="112" t="s">
        <v>39</v>
      </c>
      <c r="D33" s="32" t="s">
        <v>7</v>
      </c>
      <c r="E33" s="51"/>
      <c r="F33" s="51"/>
      <c r="G33" s="51"/>
      <c r="H33" s="52"/>
      <c r="I33" s="52"/>
      <c r="J33" s="52"/>
      <c r="K33" s="52"/>
      <c r="L33" s="52"/>
      <c r="M33" s="51"/>
      <c r="N33" s="51"/>
      <c r="O33" s="51"/>
      <c r="P33" s="51">
        <v>1</v>
      </c>
      <c r="Q33" s="51"/>
      <c r="R33" s="51"/>
      <c r="S33" s="51"/>
      <c r="T33" s="53">
        <v>1</v>
      </c>
      <c r="U33" s="143">
        <v>1</v>
      </c>
      <c r="V33" s="144"/>
      <c r="W33" s="144"/>
      <c r="X33" s="144"/>
      <c r="Y33" s="144"/>
      <c r="Z33" s="145"/>
    </row>
    <row r="34" spans="1:26" s="3" customFormat="1" ht="30" customHeight="1" x14ac:dyDescent="0.2">
      <c r="A34" s="17">
        <v>11</v>
      </c>
      <c r="B34" s="106">
        <v>12272</v>
      </c>
      <c r="C34" s="112" t="s">
        <v>40</v>
      </c>
      <c r="D34" s="32" t="s">
        <v>7</v>
      </c>
      <c r="E34" s="51"/>
      <c r="F34" s="51"/>
      <c r="G34" s="51"/>
      <c r="H34" s="52"/>
      <c r="I34" s="52"/>
      <c r="J34" s="52"/>
      <c r="K34" s="52"/>
      <c r="L34" s="52"/>
      <c r="M34" s="51"/>
      <c r="N34" s="51"/>
      <c r="O34" s="51"/>
      <c r="P34" s="51">
        <v>1</v>
      </c>
      <c r="Q34" s="51"/>
      <c r="R34" s="51"/>
      <c r="S34" s="51"/>
      <c r="T34" s="53">
        <v>1</v>
      </c>
      <c r="U34" s="143">
        <v>1</v>
      </c>
      <c r="V34" s="144"/>
      <c r="W34" s="144"/>
      <c r="X34" s="144"/>
      <c r="Y34" s="144"/>
      <c r="Z34" s="145"/>
    </row>
    <row r="35" spans="1:26" s="3" customFormat="1" ht="30" customHeight="1" x14ac:dyDescent="0.2">
      <c r="A35" s="17">
        <v>12</v>
      </c>
      <c r="B35" s="106">
        <v>12282</v>
      </c>
      <c r="C35" s="112" t="s">
        <v>41</v>
      </c>
      <c r="D35" s="32" t="s">
        <v>7</v>
      </c>
      <c r="E35" s="51"/>
      <c r="F35" s="51"/>
      <c r="G35" s="51"/>
      <c r="H35" s="52"/>
      <c r="I35" s="52"/>
      <c r="J35" s="52"/>
      <c r="K35" s="52"/>
      <c r="L35" s="52"/>
      <c r="M35" s="51"/>
      <c r="N35" s="51"/>
      <c r="O35" s="51"/>
      <c r="P35" s="51">
        <v>1</v>
      </c>
      <c r="Q35" s="51"/>
      <c r="R35" s="51"/>
      <c r="S35" s="51"/>
      <c r="T35" s="53">
        <v>1</v>
      </c>
      <c r="U35" s="143">
        <v>1</v>
      </c>
      <c r="V35" s="144"/>
      <c r="W35" s="144"/>
      <c r="X35" s="144"/>
      <c r="Y35" s="144"/>
      <c r="Z35" s="145"/>
    </row>
    <row r="36" spans="1:26" s="3" customFormat="1" ht="30" customHeight="1" x14ac:dyDescent="0.2">
      <c r="A36" s="17">
        <v>13</v>
      </c>
      <c r="B36" s="106">
        <v>12296</v>
      </c>
      <c r="C36" s="31" t="s">
        <v>42</v>
      </c>
      <c r="D36" s="32" t="s">
        <v>7</v>
      </c>
      <c r="E36" s="51"/>
      <c r="F36" s="51"/>
      <c r="G36" s="51"/>
      <c r="H36" s="52"/>
      <c r="I36" s="52"/>
      <c r="J36" s="52"/>
      <c r="K36" s="52"/>
      <c r="L36" s="52"/>
      <c r="M36" s="51"/>
      <c r="N36" s="51"/>
      <c r="O36" s="51"/>
      <c r="P36" s="51">
        <v>1</v>
      </c>
      <c r="Q36" s="51"/>
      <c r="R36" s="51"/>
      <c r="S36" s="51"/>
      <c r="T36" s="53">
        <v>1</v>
      </c>
      <c r="U36" s="143">
        <v>1</v>
      </c>
      <c r="V36" s="144"/>
      <c r="W36" s="144"/>
      <c r="X36" s="144"/>
      <c r="Y36" s="144"/>
      <c r="Z36" s="145"/>
    </row>
    <row r="37" spans="1:26" s="3" customFormat="1" ht="30" customHeight="1" x14ac:dyDescent="0.2">
      <c r="A37" s="17">
        <v>14</v>
      </c>
      <c r="B37" s="106">
        <v>12301</v>
      </c>
      <c r="C37" s="33" t="s">
        <v>43</v>
      </c>
      <c r="D37" s="34" t="s">
        <v>7</v>
      </c>
      <c r="E37" s="51"/>
      <c r="F37" s="51"/>
      <c r="G37" s="51"/>
      <c r="H37" s="52"/>
      <c r="I37" s="52"/>
      <c r="J37" s="52"/>
      <c r="K37" s="52"/>
      <c r="L37" s="52"/>
      <c r="M37" s="51"/>
      <c r="N37" s="51"/>
      <c r="O37" s="51"/>
      <c r="P37" s="51">
        <v>1</v>
      </c>
      <c r="Q37" s="51"/>
      <c r="R37" s="51"/>
      <c r="S37" s="51"/>
      <c r="T37" s="53">
        <v>1</v>
      </c>
      <c r="U37" s="143">
        <v>1</v>
      </c>
      <c r="V37" s="144"/>
      <c r="W37" s="144"/>
      <c r="X37" s="144"/>
      <c r="Y37" s="144"/>
      <c r="Z37" s="145"/>
    </row>
    <row r="38" spans="1:26" s="3" customFormat="1" ht="30" customHeight="1" x14ac:dyDescent="0.2">
      <c r="A38" s="17">
        <v>15</v>
      </c>
      <c r="B38" s="106">
        <v>12322</v>
      </c>
      <c r="C38" s="112" t="s">
        <v>45</v>
      </c>
      <c r="D38" s="32" t="s">
        <v>8</v>
      </c>
      <c r="E38" s="51"/>
      <c r="F38" s="51"/>
      <c r="G38" s="51"/>
      <c r="H38" s="52"/>
      <c r="I38" s="52"/>
      <c r="J38" s="52"/>
      <c r="K38" s="31"/>
      <c r="L38" s="32"/>
      <c r="M38" s="51"/>
      <c r="N38" s="51"/>
      <c r="O38" s="51"/>
      <c r="P38" s="51">
        <v>1</v>
      </c>
      <c r="Q38" s="51"/>
      <c r="R38" s="51"/>
      <c r="S38" s="51"/>
      <c r="T38" s="53">
        <v>1</v>
      </c>
      <c r="U38" s="143">
        <v>1</v>
      </c>
      <c r="V38" s="144"/>
      <c r="W38" s="144"/>
      <c r="X38" s="144"/>
      <c r="Y38" s="144"/>
      <c r="Z38" s="145"/>
    </row>
    <row r="39" spans="1:26" s="3" customFormat="1" ht="30" customHeight="1" x14ac:dyDescent="0.2">
      <c r="A39" s="17">
        <v>16</v>
      </c>
      <c r="B39" s="106">
        <v>12336</v>
      </c>
      <c r="C39" s="112" t="s">
        <v>46</v>
      </c>
      <c r="D39" s="32" t="s">
        <v>8</v>
      </c>
      <c r="E39" s="51"/>
      <c r="F39" s="51"/>
      <c r="G39" s="51"/>
      <c r="H39" s="52"/>
      <c r="I39" s="52"/>
      <c r="J39" s="52"/>
      <c r="K39" s="52"/>
      <c r="L39" s="52"/>
      <c r="M39" s="51"/>
      <c r="N39" s="51"/>
      <c r="O39" s="51"/>
      <c r="P39" s="51">
        <v>1</v>
      </c>
      <c r="Q39" s="51"/>
      <c r="R39" s="51"/>
      <c r="S39" s="51"/>
      <c r="T39" s="53">
        <v>1</v>
      </c>
      <c r="U39" s="143">
        <v>1</v>
      </c>
      <c r="V39" s="144"/>
      <c r="W39" s="144"/>
      <c r="X39" s="144"/>
      <c r="Y39" s="144"/>
      <c r="Z39" s="145"/>
    </row>
    <row r="40" spans="1:26" s="3" customFormat="1" ht="30" customHeight="1" x14ac:dyDescent="0.2">
      <c r="A40" s="17">
        <v>17</v>
      </c>
      <c r="B40" s="106">
        <v>12337</v>
      </c>
      <c r="C40" s="33" t="s">
        <v>47</v>
      </c>
      <c r="D40" s="34" t="s">
        <v>8</v>
      </c>
      <c r="E40" s="51"/>
      <c r="F40" s="51"/>
      <c r="G40" s="51"/>
      <c r="H40" s="52"/>
      <c r="I40" s="52"/>
      <c r="J40" s="52"/>
      <c r="K40" s="52"/>
      <c r="L40" s="52"/>
      <c r="M40" s="51"/>
      <c r="N40" s="51"/>
      <c r="O40" s="51"/>
      <c r="P40" s="51">
        <v>1</v>
      </c>
      <c r="Q40" s="51"/>
      <c r="R40" s="51"/>
      <c r="S40" s="51"/>
      <c r="T40" s="53">
        <v>1</v>
      </c>
      <c r="U40" s="143">
        <v>1</v>
      </c>
      <c r="V40" s="144"/>
      <c r="W40" s="144"/>
      <c r="X40" s="144"/>
      <c r="Y40" s="144"/>
      <c r="Z40" s="145"/>
    </row>
    <row r="41" spans="1:26" s="3" customFormat="1" ht="30" customHeight="1" x14ac:dyDescent="0.2">
      <c r="A41" s="17">
        <v>18</v>
      </c>
      <c r="B41" s="106">
        <v>12344</v>
      </c>
      <c r="C41" s="112" t="s">
        <v>48</v>
      </c>
      <c r="D41" s="32" t="s">
        <v>8</v>
      </c>
      <c r="E41" s="51"/>
      <c r="F41" s="51"/>
      <c r="G41" s="51"/>
      <c r="H41" s="52"/>
      <c r="I41" s="52"/>
      <c r="J41" s="52"/>
      <c r="K41" s="52"/>
      <c r="L41" s="52"/>
      <c r="M41" s="51"/>
      <c r="N41" s="51"/>
      <c r="O41" s="51"/>
      <c r="P41" s="51">
        <v>1</v>
      </c>
      <c r="Q41" s="51"/>
      <c r="R41" s="51"/>
      <c r="S41" s="51"/>
      <c r="T41" s="53">
        <v>1</v>
      </c>
      <c r="U41" s="143">
        <v>1</v>
      </c>
      <c r="V41" s="144"/>
      <c r="W41" s="144"/>
      <c r="X41" s="144"/>
      <c r="Y41" s="144"/>
      <c r="Z41" s="145"/>
    </row>
    <row r="42" spans="1:26" s="3" customFormat="1" ht="30" customHeight="1" x14ac:dyDescent="0.2">
      <c r="A42" s="17">
        <v>19</v>
      </c>
      <c r="B42" s="106">
        <v>12350</v>
      </c>
      <c r="C42" s="33" t="s">
        <v>49</v>
      </c>
      <c r="D42" s="34" t="s">
        <v>7</v>
      </c>
      <c r="E42" s="51"/>
      <c r="F42" s="51"/>
      <c r="G42" s="51"/>
      <c r="H42" s="52"/>
      <c r="I42" s="52"/>
      <c r="J42" s="52"/>
      <c r="K42" s="52"/>
      <c r="L42" s="52"/>
      <c r="M42" s="51"/>
      <c r="N42" s="51"/>
      <c r="O42" s="51"/>
      <c r="P42" s="51">
        <v>1</v>
      </c>
      <c r="Q42" s="51"/>
      <c r="R42" s="51"/>
      <c r="S42" s="51"/>
      <c r="T42" s="53">
        <v>1</v>
      </c>
      <c r="U42" s="143">
        <v>1</v>
      </c>
      <c r="V42" s="144"/>
      <c r="W42" s="144"/>
      <c r="X42" s="144"/>
      <c r="Y42" s="144"/>
      <c r="Z42" s="145"/>
    </row>
    <row r="43" spans="1:26" s="3" customFormat="1" ht="30" customHeight="1" x14ac:dyDescent="0.2">
      <c r="A43" s="17">
        <v>20</v>
      </c>
      <c r="B43" s="106">
        <v>12352</v>
      </c>
      <c r="C43" s="31" t="s">
        <v>50</v>
      </c>
      <c r="D43" s="32" t="s">
        <v>7</v>
      </c>
      <c r="E43" s="51"/>
      <c r="F43" s="51"/>
      <c r="G43" s="51"/>
      <c r="H43" s="52"/>
      <c r="I43" s="52"/>
      <c r="J43" s="52"/>
      <c r="K43" s="52"/>
      <c r="L43" s="52"/>
      <c r="M43" s="51"/>
      <c r="N43" s="51"/>
      <c r="O43" s="51"/>
      <c r="P43" s="51">
        <v>1</v>
      </c>
      <c r="Q43" s="51"/>
      <c r="R43" s="51"/>
      <c r="S43" s="51"/>
      <c r="T43" s="53">
        <v>1</v>
      </c>
      <c r="U43" s="143">
        <v>1</v>
      </c>
      <c r="V43" s="144"/>
      <c r="W43" s="144"/>
      <c r="X43" s="144"/>
      <c r="Y43" s="144"/>
      <c r="Z43" s="145"/>
    </row>
    <row r="44" spans="1:26" s="3" customFormat="1" ht="30" customHeight="1" x14ac:dyDescent="0.2">
      <c r="A44" s="17">
        <v>21</v>
      </c>
      <c r="B44" s="106">
        <v>12356</v>
      </c>
      <c r="C44" s="31" t="s">
        <v>51</v>
      </c>
      <c r="D44" s="32" t="s">
        <v>7</v>
      </c>
      <c r="E44" s="51"/>
      <c r="F44" s="51"/>
      <c r="G44" s="51"/>
      <c r="H44" s="52"/>
      <c r="I44" s="52"/>
      <c r="J44" s="52"/>
      <c r="K44" s="52"/>
      <c r="L44" s="52"/>
      <c r="M44" s="51"/>
      <c r="N44" s="51"/>
      <c r="O44" s="51"/>
      <c r="P44" s="51">
        <v>1</v>
      </c>
      <c r="Q44" s="51"/>
      <c r="R44" s="51"/>
      <c r="S44" s="51"/>
      <c r="T44" s="53">
        <v>1</v>
      </c>
      <c r="U44" s="143">
        <v>1</v>
      </c>
      <c r="V44" s="144"/>
      <c r="W44" s="144"/>
      <c r="X44" s="144"/>
      <c r="Y44" s="144"/>
      <c r="Z44" s="145"/>
    </row>
    <row r="45" spans="1:26" s="3" customFormat="1" ht="30" customHeight="1" x14ac:dyDescent="0.2">
      <c r="A45" s="17">
        <v>22</v>
      </c>
      <c r="B45" s="106">
        <v>12360</v>
      </c>
      <c r="C45" s="112" t="s">
        <v>52</v>
      </c>
      <c r="D45" s="32" t="s">
        <v>7</v>
      </c>
      <c r="E45" s="51"/>
      <c r="F45" s="51"/>
      <c r="G45" s="51"/>
      <c r="H45" s="52"/>
      <c r="I45" s="52"/>
      <c r="J45" s="52"/>
      <c r="K45" s="52"/>
      <c r="L45" s="52"/>
      <c r="M45" s="51"/>
      <c r="N45" s="51"/>
      <c r="O45" s="51"/>
      <c r="P45" s="51"/>
      <c r="Q45" s="51"/>
      <c r="R45" s="51"/>
      <c r="S45" s="51"/>
      <c r="T45" s="53"/>
      <c r="U45" s="143">
        <v>1</v>
      </c>
      <c r="V45" s="144"/>
      <c r="W45" s="144"/>
      <c r="X45" s="144"/>
      <c r="Y45" s="144"/>
      <c r="Z45" s="145"/>
    </row>
    <row r="46" spans="1:26" s="3" customFormat="1" ht="30" customHeight="1" x14ac:dyDescent="0.2">
      <c r="A46" s="17">
        <v>23</v>
      </c>
      <c r="B46" s="106">
        <v>12363</v>
      </c>
      <c r="C46" s="31" t="s">
        <v>53</v>
      </c>
      <c r="D46" s="32" t="s">
        <v>7</v>
      </c>
      <c r="E46" s="51"/>
      <c r="F46" s="51"/>
      <c r="G46" s="51"/>
      <c r="H46" s="52"/>
      <c r="I46" s="52"/>
      <c r="J46" s="52"/>
      <c r="K46" s="52"/>
      <c r="L46" s="52"/>
      <c r="M46" s="51"/>
      <c r="N46" s="51"/>
      <c r="O46" s="51"/>
      <c r="P46" s="51"/>
      <c r="Q46" s="51"/>
      <c r="R46" s="51"/>
      <c r="S46" s="51"/>
      <c r="T46" s="53"/>
      <c r="U46" s="143">
        <v>1</v>
      </c>
      <c r="V46" s="144"/>
      <c r="W46" s="144"/>
      <c r="X46" s="144"/>
      <c r="Y46" s="144"/>
      <c r="Z46" s="145"/>
    </row>
    <row r="47" spans="1:26" s="4" customFormat="1" ht="30" customHeight="1" x14ac:dyDescent="0.2">
      <c r="A47" s="17">
        <v>24</v>
      </c>
      <c r="B47" s="106">
        <v>12373</v>
      </c>
      <c r="C47" s="31" t="s">
        <v>54</v>
      </c>
      <c r="D47" s="32" t="s">
        <v>7</v>
      </c>
      <c r="E47" s="51"/>
      <c r="F47" s="51"/>
      <c r="G47" s="51"/>
      <c r="H47" s="52"/>
      <c r="I47" s="52"/>
      <c r="J47" s="52"/>
      <c r="K47" s="52"/>
      <c r="L47" s="52"/>
      <c r="M47" s="51"/>
      <c r="N47" s="51"/>
      <c r="O47" s="51"/>
      <c r="P47" s="51"/>
      <c r="Q47" s="51"/>
      <c r="R47" s="51"/>
      <c r="S47" s="51"/>
      <c r="T47" s="53"/>
      <c r="U47" s="143">
        <v>1</v>
      </c>
      <c r="V47" s="144"/>
      <c r="W47" s="144"/>
      <c r="X47" s="144"/>
      <c r="Y47" s="144"/>
      <c r="Z47" s="145"/>
    </row>
    <row r="48" spans="1:26" s="4" customFormat="1" ht="30" customHeight="1" x14ac:dyDescent="0.2">
      <c r="A48" s="17">
        <v>25</v>
      </c>
      <c r="B48" s="106">
        <v>12385</v>
      </c>
      <c r="C48" s="35" t="s">
        <v>55</v>
      </c>
      <c r="D48" s="32" t="s">
        <v>8</v>
      </c>
      <c r="E48" s="51"/>
      <c r="F48" s="51"/>
      <c r="G48" s="51"/>
      <c r="H48" s="52"/>
      <c r="I48" s="52"/>
      <c r="J48" s="52"/>
      <c r="K48" s="52"/>
      <c r="L48" s="52"/>
      <c r="M48" s="51"/>
      <c r="N48" s="51"/>
      <c r="O48" s="51"/>
      <c r="P48" s="51"/>
      <c r="Q48" s="51"/>
      <c r="R48" s="51"/>
      <c r="S48" s="51"/>
      <c r="T48" s="53"/>
      <c r="U48" s="143"/>
      <c r="V48" s="144"/>
      <c r="W48" s="144"/>
      <c r="X48" s="144"/>
      <c r="Y48" s="144"/>
      <c r="Z48" s="145"/>
    </row>
    <row r="49" spans="1:26" s="4" customFormat="1" ht="30" customHeight="1" x14ac:dyDescent="0.2">
      <c r="A49" s="17">
        <v>26</v>
      </c>
      <c r="B49" s="106">
        <v>12410</v>
      </c>
      <c r="C49" s="112" t="s">
        <v>56</v>
      </c>
      <c r="D49" s="32" t="s">
        <v>8</v>
      </c>
      <c r="E49" s="51"/>
      <c r="F49" s="51"/>
      <c r="G49" s="51"/>
      <c r="H49" s="52"/>
      <c r="I49" s="52"/>
      <c r="J49" s="52"/>
      <c r="K49" s="52"/>
      <c r="L49" s="52"/>
      <c r="M49" s="51"/>
      <c r="N49" s="51"/>
      <c r="O49" s="51"/>
      <c r="P49" s="51"/>
      <c r="Q49" s="51"/>
      <c r="R49" s="51"/>
      <c r="S49" s="51"/>
      <c r="T49" s="53"/>
      <c r="U49" s="143"/>
      <c r="V49" s="144"/>
      <c r="W49" s="144"/>
      <c r="X49" s="144"/>
      <c r="Y49" s="144"/>
      <c r="Z49" s="145"/>
    </row>
    <row r="50" spans="1:26" s="4" customFormat="1" ht="30" customHeight="1" x14ac:dyDescent="0.2">
      <c r="A50" s="17">
        <v>27</v>
      </c>
      <c r="B50" s="106">
        <v>12417</v>
      </c>
      <c r="C50" s="112" t="s">
        <v>57</v>
      </c>
      <c r="D50" s="32" t="s">
        <v>7</v>
      </c>
      <c r="E50" s="51"/>
      <c r="F50" s="51"/>
      <c r="G50" s="51"/>
      <c r="H50" s="52"/>
      <c r="I50" s="52"/>
      <c r="J50" s="52"/>
      <c r="K50" s="52"/>
      <c r="L50" s="52"/>
      <c r="M50" s="51"/>
      <c r="N50" s="51"/>
      <c r="O50" s="51"/>
      <c r="P50" s="51">
        <v>1</v>
      </c>
      <c r="Q50" s="51"/>
      <c r="R50" s="51"/>
      <c r="S50" s="51"/>
      <c r="T50" s="53">
        <v>1</v>
      </c>
      <c r="U50" s="143"/>
      <c r="V50" s="144"/>
      <c r="W50" s="144"/>
      <c r="X50" s="144"/>
      <c r="Y50" s="144"/>
      <c r="Z50" s="145"/>
    </row>
    <row r="51" spans="1:26" s="4" customFormat="1" ht="30" customHeight="1" x14ac:dyDescent="0.2">
      <c r="A51" s="17">
        <v>28</v>
      </c>
      <c r="B51" s="106">
        <v>12426</v>
      </c>
      <c r="C51" s="31" t="s">
        <v>58</v>
      </c>
      <c r="D51" s="32" t="s">
        <v>8</v>
      </c>
      <c r="E51" s="51"/>
      <c r="F51" s="51"/>
      <c r="G51" s="51"/>
      <c r="H51" s="52"/>
      <c r="I51" s="52"/>
      <c r="J51" s="52"/>
      <c r="K51" s="52"/>
      <c r="L51" s="52"/>
      <c r="M51" s="51"/>
      <c r="N51" s="51"/>
      <c r="O51" s="51"/>
      <c r="P51" s="52"/>
      <c r="Q51" s="52"/>
      <c r="R51" s="52"/>
      <c r="S51" s="52"/>
      <c r="T51" s="53"/>
      <c r="U51" s="143"/>
      <c r="V51" s="144"/>
      <c r="W51" s="144"/>
      <c r="X51" s="144"/>
      <c r="Y51" s="144"/>
      <c r="Z51" s="145"/>
    </row>
    <row r="52" spans="1:26" s="4" customFormat="1" ht="30" customHeight="1" x14ac:dyDescent="0.2">
      <c r="A52" s="17">
        <v>29</v>
      </c>
      <c r="B52" s="106">
        <v>12431</v>
      </c>
      <c r="C52" s="31" t="s">
        <v>59</v>
      </c>
      <c r="D52" s="34" t="s">
        <v>8</v>
      </c>
      <c r="E52" s="51"/>
      <c r="F52" s="51"/>
      <c r="G52" s="51"/>
      <c r="H52" s="52"/>
      <c r="I52" s="52"/>
      <c r="J52" s="52"/>
      <c r="K52" s="52"/>
      <c r="L52" s="52"/>
      <c r="M52" s="51"/>
      <c r="N52" s="51"/>
      <c r="O52" s="51"/>
      <c r="P52" s="52"/>
      <c r="Q52" s="52"/>
      <c r="R52" s="52"/>
      <c r="S52" s="52"/>
      <c r="T52" s="53"/>
      <c r="U52" s="143"/>
      <c r="V52" s="144"/>
      <c r="W52" s="144"/>
      <c r="X52" s="144"/>
      <c r="Y52" s="144"/>
      <c r="Z52" s="145"/>
    </row>
    <row r="53" spans="1:26" s="4" customFormat="1" ht="30" customHeight="1" x14ac:dyDescent="0.2">
      <c r="A53" s="17">
        <v>30</v>
      </c>
      <c r="B53" s="106">
        <v>12438</v>
      </c>
      <c r="C53" s="31" t="s">
        <v>60</v>
      </c>
      <c r="D53" s="32" t="s">
        <v>7</v>
      </c>
      <c r="E53" s="51"/>
      <c r="F53" s="51"/>
      <c r="G53" s="51"/>
      <c r="H53" s="52"/>
      <c r="I53" s="52"/>
      <c r="J53" s="52"/>
      <c r="K53" s="52"/>
      <c r="L53" s="52"/>
      <c r="M53" s="51"/>
      <c r="N53" s="51"/>
      <c r="O53" s="51"/>
      <c r="P53" s="52"/>
      <c r="Q53" s="52"/>
      <c r="R53" s="52"/>
      <c r="S53" s="52"/>
      <c r="T53" s="53"/>
      <c r="U53" s="143"/>
      <c r="V53" s="144"/>
      <c r="W53" s="144"/>
      <c r="X53" s="144"/>
      <c r="Y53" s="144"/>
      <c r="Z53" s="145"/>
    </row>
    <row r="54" spans="1:26" s="4" customFormat="1" ht="30" customHeight="1" x14ac:dyDescent="0.2">
      <c r="A54" s="17">
        <v>31</v>
      </c>
      <c r="B54" s="106">
        <v>12453</v>
      </c>
      <c r="C54" s="112" t="s">
        <v>61</v>
      </c>
      <c r="D54" s="32" t="s">
        <v>7</v>
      </c>
      <c r="E54" s="51"/>
      <c r="F54" s="51"/>
      <c r="G54" s="51"/>
      <c r="H54" s="52"/>
      <c r="I54" s="52"/>
      <c r="J54" s="52"/>
      <c r="K54" s="52"/>
      <c r="L54" s="52"/>
      <c r="M54" s="51"/>
      <c r="N54" s="51"/>
      <c r="O54" s="51"/>
      <c r="P54" s="52"/>
      <c r="Q54" s="52"/>
      <c r="R54" s="52"/>
      <c r="S54" s="52"/>
      <c r="T54" s="53"/>
      <c r="U54" s="143"/>
      <c r="V54" s="144"/>
      <c r="W54" s="144"/>
      <c r="X54" s="144"/>
      <c r="Y54" s="144"/>
      <c r="Z54" s="145"/>
    </row>
    <row r="55" spans="1:26" s="4" customFormat="1" ht="30" customHeight="1" x14ac:dyDescent="0.2">
      <c r="A55" s="17">
        <v>32</v>
      </c>
      <c r="B55" s="106">
        <v>12460</v>
      </c>
      <c r="C55" s="31" t="s">
        <v>62</v>
      </c>
      <c r="D55" s="32" t="s">
        <v>8</v>
      </c>
      <c r="E55" s="51"/>
      <c r="F55" s="51"/>
      <c r="G55" s="51"/>
      <c r="H55" s="52"/>
      <c r="I55" s="52"/>
      <c r="J55" s="52"/>
      <c r="K55" s="52"/>
      <c r="L55" s="52"/>
      <c r="M55" s="51"/>
      <c r="N55" s="51"/>
      <c r="O55" s="51"/>
      <c r="P55" s="52"/>
      <c r="Q55" s="52"/>
      <c r="R55" s="52"/>
      <c r="S55" s="52"/>
      <c r="T55" s="53"/>
      <c r="U55" s="143"/>
      <c r="V55" s="144"/>
      <c r="W55" s="144"/>
      <c r="X55" s="144"/>
      <c r="Y55" s="144"/>
      <c r="Z55" s="145"/>
    </row>
    <row r="56" spans="1:26" s="4" customFormat="1" ht="30" customHeight="1" x14ac:dyDescent="0.2">
      <c r="A56" s="17">
        <v>33</v>
      </c>
      <c r="B56" s="106">
        <v>12469</v>
      </c>
      <c r="C56" s="31" t="s">
        <v>63</v>
      </c>
      <c r="D56" s="32" t="s">
        <v>7</v>
      </c>
      <c r="E56" s="51"/>
      <c r="F56" s="51"/>
      <c r="G56" s="51"/>
      <c r="H56" s="52"/>
      <c r="I56" s="52"/>
      <c r="J56" s="52"/>
      <c r="K56" s="52"/>
      <c r="L56" s="52"/>
      <c r="M56" s="51"/>
      <c r="N56" s="51"/>
      <c r="O56" s="51"/>
      <c r="P56" s="52"/>
      <c r="Q56" s="52"/>
      <c r="R56" s="52"/>
      <c r="S56" s="52"/>
      <c r="T56" s="53"/>
      <c r="U56" s="143"/>
      <c r="V56" s="144"/>
      <c r="W56" s="144"/>
      <c r="X56" s="144"/>
      <c r="Y56" s="144"/>
      <c r="Z56" s="145"/>
    </row>
    <row r="57" spans="1:26" s="6" customFormat="1" ht="30" customHeight="1" x14ac:dyDescent="0.2">
      <c r="A57" s="54"/>
      <c r="B57" s="55"/>
      <c r="C57" s="44" t="s">
        <v>9</v>
      </c>
      <c r="D57" s="36">
        <f>COUNTIF(D24:D56,"L")</f>
        <v>22</v>
      </c>
      <c r="E57" s="56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8"/>
      <c r="S57" s="54"/>
      <c r="T57" s="54"/>
      <c r="U57" s="54"/>
      <c r="V57" s="54"/>
      <c r="W57" s="54"/>
      <c r="X57" s="54"/>
      <c r="Y57" s="54"/>
      <c r="Z57" s="54"/>
    </row>
    <row r="58" spans="1:26" s="6" customFormat="1" ht="30" customHeight="1" x14ac:dyDescent="0.2">
      <c r="A58" s="54"/>
      <c r="B58" s="54"/>
      <c r="C58" s="45" t="s">
        <v>10</v>
      </c>
      <c r="D58" s="37">
        <f>COUNTIF(D24:D56,"P")</f>
        <v>11</v>
      </c>
      <c r="E58" s="59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4"/>
      <c r="T58" s="54"/>
      <c r="U58" s="54"/>
      <c r="V58" s="54"/>
      <c r="W58" s="54"/>
      <c r="X58" s="54"/>
      <c r="Y58" s="54"/>
      <c r="Z58" s="54"/>
    </row>
    <row r="59" spans="1:26" ht="30" customHeight="1" x14ac:dyDescent="0.2">
      <c r="A59" s="58"/>
      <c r="B59" s="58"/>
      <c r="C59" s="46" t="s">
        <v>11</v>
      </c>
      <c r="D59" s="47">
        <f>SUM(D57:D58)</f>
        <v>33</v>
      </c>
      <c r="E59" s="59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7.100000000000001" customHeight="1" x14ac:dyDescent="0.2">
      <c r="A60" s="58"/>
      <c r="B60" s="58"/>
      <c r="C60" s="159" t="s">
        <v>12</v>
      </c>
      <c r="D60" s="159"/>
      <c r="E60" s="61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7.100000000000001" customHeight="1" x14ac:dyDescent="0.2">
      <c r="A61" s="58"/>
      <c r="B61" s="58"/>
      <c r="C61" s="60"/>
      <c r="D61" s="60"/>
      <c r="E61" s="61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7.100000000000001" customHeight="1" x14ac:dyDescent="0.2">
      <c r="A62" s="58"/>
      <c r="B62" s="58"/>
      <c r="C62" s="60"/>
      <c r="D62" s="60"/>
      <c r="E62" s="61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2"/>
      <c r="Y63" s="2"/>
      <c r="Z63" s="2"/>
    </row>
    <row r="64" spans="1:26" ht="15.75" x14ac:dyDescent="0.25">
      <c r="A64" s="2"/>
      <c r="B64" s="2"/>
      <c r="C64" s="8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x14ac:dyDescent="0.25">
      <c r="A65" s="2"/>
      <c r="B65" s="2"/>
      <c r="C65" s="8"/>
      <c r="D65" s="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x14ac:dyDescent="0.25">
      <c r="A66" s="2"/>
      <c r="B66" s="2"/>
      <c r="C66" s="8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8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x14ac:dyDescent="0.25">
      <c r="A68" s="2"/>
      <c r="B68" s="2"/>
      <c r="C68" s="8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8"/>
      <c r="D69" s="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">
      <c r="C70" s="5"/>
      <c r="D70" s="5"/>
    </row>
  </sheetData>
  <sheetProtection selectLockedCells="1" selectUnlockedCells="1"/>
  <mergeCells count="44">
    <mergeCell ref="C60:D60"/>
    <mergeCell ref="U41:Z41"/>
    <mergeCell ref="U42:Z42"/>
    <mergeCell ref="U43:Z43"/>
    <mergeCell ref="U44:Z44"/>
    <mergeCell ref="U45:Z45"/>
    <mergeCell ref="U48:Z48"/>
    <mergeCell ref="U56:Z56"/>
    <mergeCell ref="U54:Z54"/>
    <mergeCell ref="U55:Z55"/>
    <mergeCell ref="U47:Z47"/>
    <mergeCell ref="U46:Z46"/>
    <mergeCell ref="A14:Z14"/>
    <mergeCell ref="U52:Z52"/>
    <mergeCell ref="U53:Z53"/>
    <mergeCell ref="U33:Z33"/>
    <mergeCell ref="U32:Z32"/>
    <mergeCell ref="U31:Z31"/>
    <mergeCell ref="U26:Z26"/>
    <mergeCell ref="U51:Z51"/>
    <mergeCell ref="U40:Z40"/>
    <mergeCell ref="U25:Z25"/>
    <mergeCell ref="U38:Z38"/>
    <mergeCell ref="U39:Z39"/>
    <mergeCell ref="U49:Z49"/>
    <mergeCell ref="U50:Z50"/>
    <mergeCell ref="U36:Z36"/>
    <mergeCell ref="U28:Z28"/>
    <mergeCell ref="A15:Z15"/>
    <mergeCell ref="A20:A23"/>
    <mergeCell ref="B20:B23"/>
    <mergeCell ref="C20:C23"/>
    <mergeCell ref="D20:D23"/>
    <mergeCell ref="E21:T22"/>
    <mergeCell ref="E20:T20"/>
    <mergeCell ref="M18:P18"/>
    <mergeCell ref="U35:Z35"/>
    <mergeCell ref="U34:Z34"/>
    <mergeCell ref="U37:Z37"/>
    <mergeCell ref="U27:Z27"/>
    <mergeCell ref="U20:Z23"/>
    <mergeCell ref="U29:Z29"/>
    <mergeCell ref="U30:Z30"/>
    <mergeCell ref="U24:Z24"/>
  </mergeCells>
  <printOptions horizontalCentered="1"/>
  <pageMargins left="0.19685039370078741" right="0" top="0.39370078740157483" bottom="0.19685039370078741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view="pageBreakPreview" topLeftCell="A41" zoomScale="75" zoomScaleNormal="75" zoomScaleSheetLayoutView="75" workbookViewId="0">
      <selection activeCell="I54" sqref="I54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7.100000000000001" customHeight="1" x14ac:dyDescent="0.2"/>
    <row r="14" spans="1:26" ht="20.45" customHeight="1" x14ac:dyDescent="0.2">
      <c r="A14" s="147" t="s">
        <v>13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1.6" customHeight="1" x14ac:dyDescent="0.2">
      <c r="A15" s="147" t="s">
        <v>29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12.6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Y16" s="9"/>
      <c r="Z16" s="9"/>
    </row>
    <row r="17" spans="1:26" ht="17.100000000000001" customHeight="1" x14ac:dyDescent="0.2">
      <c r="A17" s="41"/>
      <c r="B17" s="41"/>
      <c r="C17" s="41"/>
      <c r="D17" s="41"/>
      <c r="E17" s="111"/>
      <c r="F17" s="111"/>
      <c r="G17" s="111"/>
      <c r="H17" s="50"/>
      <c r="M17" s="41" t="s">
        <v>0</v>
      </c>
      <c r="N17" s="41"/>
      <c r="O17" s="41"/>
      <c r="P17" s="41"/>
      <c r="Q17" s="42" t="s">
        <v>22</v>
      </c>
      <c r="R17" s="42"/>
      <c r="S17" s="50"/>
      <c r="T17" s="50"/>
      <c r="U17" s="50"/>
      <c r="V17" s="65"/>
      <c r="W17" s="65"/>
      <c r="X17" s="65"/>
      <c r="Y17" s="50"/>
      <c r="Z17" s="50"/>
    </row>
    <row r="18" spans="1:26" ht="17.100000000000001" customHeight="1" x14ac:dyDescent="0.2">
      <c r="A18" s="42" t="s">
        <v>17</v>
      </c>
      <c r="B18" s="41"/>
      <c r="C18" s="41"/>
      <c r="D18" s="41"/>
      <c r="E18" s="111"/>
      <c r="F18" s="111"/>
      <c r="G18" s="111"/>
      <c r="H18" s="50"/>
      <c r="M18" s="41" t="s">
        <v>1</v>
      </c>
      <c r="N18" s="41"/>
      <c r="O18" s="41"/>
      <c r="P18" s="41"/>
      <c r="Q18" s="42" t="s">
        <v>316</v>
      </c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2.6" customHeight="1" x14ac:dyDescent="0.2"/>
    <row r="20" spans="1:26" ht="20.100000000000001" customHeight="1" x14ac:dyDescent="0.2">
      <c r="A20" s="148" t="s">
        <v>2</v>
      </c>
      <c r="B20" s="148" t="s">
        <v>3</v>
      </c>
      <c r="C20" s="148" t="s">
        <v>4</v>
      </c>
      <c r="D20" s="148" t="s">
        <v>5</v>
      </c>
      <c r="E20" s="156" t="s">
        <v>6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61"/>
      <c r="U20" s="152" t="s">
        <v>14</v>
      </c>
      <c r="V20" s="153"/>
      <c r="W20" s="153"/>
      <c r="X20" s="153"/>
      <c r="Y20" s="153"/>
      <c r="Z20" s="162"/>
    </row>
    <row r="21" spans="1:26" ht="17.100000000000001" customHeight="1" x14ac:dyDescent="0.2">
      <c r="A21" s="149"/>
      <c r="B21" s="149"/>
      <c r="C21" s="149"/>
      <c r="D21" s="149"/>
      <c r="E21" s="152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62"/>
      <c r="U21" s="164"/>
      <c r="V21" s="165"/>
      <c r="W21" s="165"/>
      <c r="X21" s="165"/>
      <c r="Y21" s="165"/>
      <c r="Z21" s="166"/>
    </row>
    <row r="22" spans="1:26" ht="17.100000000000001" customHeight="1" x14ac:dyDescent="0.2">
      <c r="A22" s="149"/>
      <c r="B22" s="149"/>
      <c r="C22" s="149"/>
      <c r="D22" s="149"/>
      <c r="E22" s="154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63"/>
      <c r="U22" s="164"/>
      <c r="V22" s="165"/>
      <c r="W22" s="165"/>
      <c r="X22" s="165"/>
      <c r="Y22" s="165"/>
      <c r="Z22" s="166"/>
    </row>
    <row r="23" spans="1:26" ht="20.100000000000001" customHeight="1" x14ac:dyDescent="0.2">
      <c r="A23" s="150"/>
      <c r="B23" s="160"/>
      <c r="C23" s="160"/>
      <c r="D23" s="160"/>
      <c r="E23" s="67">
        <v>1</v>
      </c>
      <c r="F23" s="40">
        <v>2</v>
      </c>
      <c r="G23" s="40">
        <v>3</v>
      </c>
      <c r="H23" s="40">
        <v>4</v>
      </c>
      <c r="I23" s="40">
        <v>5</v>
      </c>
      <c r="J23" s="40">
        <v>6</v>
      </c>
      <c r="K23" s="40">
        <v>7</v>
      </c>
      <c r="L23" s="40">
        <v>8</v>
      </c>
      <c r="M23" s="40">
        <v>9</v>
      </c>
      <c r="N23" s="40">
        <v>10</v>
      </c>
      <c r="O23" s="40">
        <v>11</v>
      </c>
      <c r="P23" s="40">
        <v>12</v>
      </c>
      <c r="Q23" s="40">
        <v>13</v>
      </c>
      <c r="R23" s="40">
        <v>14</v>
      </c>
      <c r="S23" s="40">
        <v>15</v>
      </c>
      <c r="T23" s="68">
        <v>16</v>
      </c>
      <c r="U23" s="167"/>
      <c r="V23" s="168"/>
      <c r="W23" s="168"/>
      <c r="X23" s="168"/>
      <c r="Y23" s="168"/>
      <c r="Z23" s="169"/>
    </row>
    <row r="24" spans="1:26" s="3" customFormat="1" ht="30" customHeight="1" x14ac:dyDescent="0.25">
      <c r="A24" s="17">
        <v>1</v>
      </c>
      <c r="B24" s="107">
        <v>12209</v>
      </c>
      <c r="C24" s="31" t="s">
        <v>64</v>
      </c>
      <c r="D24" s="34" t="s">
        <v>7</v>
      </c>
      <c r="E24" s="18">
        <v>1</v>
      </c>
      <c r="F24" s="18"/>
      <c r="G24" s="18"/>
      <c r="H24" s="19"/>
      <c r="I24" s="19"/>
      <c r="J24" s="19"/>
      <c r="K24" s="19"/>
      <c r="L24" s="19"/>
      <c r="M24" s="18"/>
      <c r="N24" s="18"/>
      <c r="O24" s="18"/>
      <c r="P24" s="18">
        <v>1</v>
      </c>
      <c r="Q24" s="18"/>
      <c r="R24" s="18"/>
      <c r="S24" s="18"/>
      <c r="T24" s="19">
        <v>1</v>
      </c>
      <c r="U24" s="171">
        <v>1</v>
      </c>
      <c r="V24" s="172"/>
      <c r="W24" s="172"/>
      <c r="X24" s="172"/>
      <c r="Y24" s="172"/>
      <c r="Z24" s="173"/>
    </row>
    <row r="25" spans="1:26" s="3" customFormat="1" ht="30" customHeight="1" x14ac:dyDescent="0.25">
      <c r="A25" s="17">
        <v>2</v>
      </c>
      <c r="B25" s="106">
        <v>12223</v>
      </c>
      <c r="C25" s="31" t="s">
        <v>65</v>
      </c>
      <c r="D25" s="32" t="s">
        <v>7</v>
      </c>
      <c r="E25" s="18"/>
      <c r="F25" s="18"/>
      <c r="G25" s="18"/>
      <c r="H25" s="19"/>
      <c r="I25" s="19"/>
      <c r="J25" s="19"/>
      <c r="K25" s="19"/>
      <c r="L25" s="19"/>
      <c r="M25" s="18"/>
      <c r="N25" s="18"/>
      <c r="O25" s="18"/>
      <c r="P25" s="18">
        <v>1</v>
      </c>
      <c r="Q25" s="18"/>
      <c r="R25" s="18"/>
      <c r="S25" s="18"/>
      <c r="T25" s="19">
        <v>1</v>
      </c>
      <c r="U25" s="171">
        <v>1</v>
      </c>
      <c r="V25" s="172"/>
      <c r="W25" s="172"/>
      <c r="X25" s="172"/>
      <c r="Y25" s="172"/>
      <c r="Z25" s="173"/>
    </row>
    <row r="26" spans="1:26" s="3" customFormat="1" ht="30" customHeight="1" x14ac:dyDescent="0.25">
      <c r="A26" s="17">
        <v>3</v>
      </c>
      <c r="B26" s="106">
        <v>12237</v>
      </c>
      <c r="C26" s="31" t="s">
        <v>66</v>
      </c>
      <c r="D26" s="32" t="s">
        <v>7</v>
      </c>
      <c r="E26" s="18"/>
      <c r="F26" s="18"/>
      <c r="G26" s="18"/>
      <c r="H26" s="19"/>
      <c r="I26" s="19"/>
      <c r="J26" s="19"/>
      <c r="K26" s="19"/>
      <c r="L26" s="19"/>
      <c r="M26" s="18"/>
      <c r="N26" s="18"/>
      <c r="O26" s="18"/>
      <c r="P26" s="18">
        <v>1</v>
      </c>
      <c r="Q26" s="18"/>
      <c r="R26" s="18"/>
      <c r="S26" s="18"/>
      <c r="T26" s="19">
        <v>1</v>
      </c>
      <c r="U26" s="171">
        <v>1</v>
      </c>
      <c r="V26" s="172"/>
      <c r="W26" s="172"/>
      <c r="X26" s="172"/>
      <c r="Y26" s="172"/>
      <c r="Z26" s="173"/>
    </row>
    <row r="27" spans="1:26" s="3" customFormat="1" ht="30" customHeight="1" x14ac:dyDescent="0.25">
      <c r="A27" s="17">
        <v>4</v>
      </c>
      <c r="B27" s="106">
        <v>12239</v>
      </c>
      <c r="C27" s="69" t="s">
        <v>67</v>
      </c>
      <c r="D27" s="32" t="s">
        <v>7</v>
      </c>
      <c r="E27" s="18"/>
      <c r="F27" s="18"/>
      <c r="G27" s="18"/>
      <c r="H27" s="19"/>
      <c r="I27" s="19"/>
      <c r="J27" s="19"/>
      <c r="K27" s="19"/>
      <c r="L27" s="19"/>
      <c r="M27" s="18"/>
      <c r="N27" s="18"/>
      <c r="O27" s="18"/>
      <c r="P27" s="18">
        <v>1</v>
      </c>
      <c r="Q27" s="18"/>
      <c r="R27" s="18"/>
      <c r="S27" s="18"/>
      <c r="T27" s="19">
        <v>1</v>
      </c>
      <c r="U27" s="171">
        <v>1</v>
      </c>
      <c r="V27" s="172"/>
      <c r="W27" s="172"/>
      <c r="X27" s="172"/>
      <c r="Y27" s="172"/>
      <c r="Z27" s="173"/>
    </row>
    <row r="28" spans="1:26" s="3" customFormat="1" ht="30" customHeight="1" x14ac:dyDescent="0.25">
      <c r="A28" s="17">
        <v>5</v>
      </c>
      <c r="B28" s="106">
        <v>12244</v>
      </c>
      <c r="C28" s="31" t="s">
        <v>68</v>
      </c>
      <c r="D28" s="32" t="s">
        <v>7</v>
      </c>
      <c r="E28" s="18"/>
      <c r="F28" s="18"/>
      <c r="G28" s="18"/>
      <c r="H28" s="19"/>
      <c r="I28" s="19"/>
      <c r="J28" s="19"/>
      <c r="K28" s="19"/>
      <c r="L28" s="19"/>
      <c r="M28" s="18"/>
      <c r="N28" s="18"/>
      <c r="O28" s="18"/>
      <c r="P28" s="18">
        <v>1</v>
      </c>
      <c r="Q28" s="18"/>
      <c r="R28" s="18"/>
      <c r="S28" s="18"/>
      <c r="T28" s="19">
        <v>1</v>
      </c>
      <c r="U28" s="171">
        <v>1</v>
      </c>
      <c r="V28" s="172"/>
      <c r="W28" s="172"/>
      <c r="X28" s="172"/>
      <c r="Y28" s="172"/>
      <c r="Z28" s="173"/>
    </row>
    <row r="29" spans="1:26" s="3" customFormat="1" ht="30" customHeight="1" x14ac:dyDescent="0.25">
      <c r="A29" s="17">
        <v>6</v>
      </c>
      <c r="B29" s="106">
        <v>12257</v>
      </c>
      <c r="C29" s="31" t="s">
        <v>69</v>
      </c>
      <c r="D29" s="32" t="s">
        <v>8</v>
      </c>
      <c r="E29" s="18"/>
      <c r="F29" s="18"/>
      <c r="G29" s="18"/>
      <c r="H29" s="19"/>
      <c r="I29" s="19"/>
      <c r="J29" s="19"/>
      <c r="K29" s="19"/>
      <c r="L29" s="19"/>
      <c r="M29" s="18"/>
      <c r="N29" s="18"/>
      <c r="O29" s="18"/>
      <c r="P29" s="18">
        <v>1</v>
      </c>
      <c r="Q29" s="18"/>
      <c r="R29" s="18"/>
      <c r="S29" s="18"/>
      <c r="T29" s="19">
        <v>1</v>
      </c>
      <c r="U29" s="171">
        <v>1</v>
      </c>
      <c r="V29" s="172"/>
      <c r="W29" s="172"/>
      <c r="X29" s="172"/>
      <c r="Y29" s="172"/>
      <c r="Z29" s="173"/>
    </row>
    <row r="30" spans="1:26" s="3" customFormat="1" ht="30" customHeight="1" x14ac:dyDescent="0.25">
      <c r="A30" s="17">
        <v>7</v>
      </c>
      <c r="B30" s="106">
        <v>12275</v>
      </c>
      <c r="C30" s="31" t="s">
        <v>70</v>
      </c>
      <c r="D30" s="108" t="s">
        <v>7</v>
      </c>
      <c r="E30" s="18"/>
      <c r="F30" s="18"/>
      <c r="G30" s="18"/>
      <c r="H30" s="19"/>
      <c r="I30" s="19"/>
      <c r="J30" s="19"/>
      <c r="K30" s="19"/>
      <c r="L30" s="19"/>
      <c r="M30" s="18"/>
      <c r="N30" s="18"/>
      <c r="O30" s="18"/>
      <c r="P30" s="18"/>
      <c r="Q30" s="18"/>
      <c r="R30" s="18"/>
      <c r="S30" s="18"/>
      <c r="T30" s="19"/>
      <c r="U30" s="48"/>
      <c r="V30" s="21"/>
      <c r="W30" s="21"/>
      <c r="X30" s="21"/>
      <c r="Y30" s="21"/>
      <c r="Z30" s="22"/>
    </row>
    <row r="31" spans="1:26" s="3" customFormat="1" ht="30" customHeight="1" x14ac:dyDescent="0.25">
      <c r="A31" s="17">
        <v>8</v>
      </c>
      <c r="B31" s="106">
        <v>12292</v>
      </c>
      <c r="C31" s="31" t="s">
        <v>71</v>
      </c>
      <c r="D31" s="108" t="s">
        <v>8</v>
      </c>
      <c r="E31" s="18"/>
      <c r="F31" s="18"/>
      <c r="G31" s="18"/>
      <c r="H31" s="19"/>
      <c r="I31" s="19"/>
      <c r="J31" s="19"/>
      <c r="K31" s="19"/>
      <c r="L31" s="19"/>
      <c r="M31" s="18"/>
      <c r="N31" s="18"/>
      <c r="O31" s="18"/>
      <c r="P31" s="18"/>
      <c r="Q31" s="18"/>
      <c r="R31" s="18"/>
      <c r="S31" s="18"/>
      <c r="T31" s="19"/>
      <c r="U31" s="48"/>
      <c r="V31" s="21"/>
      <c r="W31" s="21"/>
      <c r="X31" s="21"/>
      <c r="Y31" s="21"/>
      <c r="Z31" s="22"/>
    </row>
    <row r="32" spans="1:26" s="3" customFormat="1" ht="30" customHeight="1" x14ac:dyDescent="0.25">
      <c r="A32" s="17">
        <v>9</v>
      </c>
      <c r="B32" s="106">
        <v>12298</v>
      </c>
      <c r="C32" s="33" t="s">
        <v>72</v>
      </c>
      <c r="D32" s="34" t="s">
        <v>8</v>
      </c>
      <c r="E32" s="18"/>
      <c r="F32" s="18"/>
      <c r="G32" s="18"/>
      <c r="H32" s="19"/>
      <c r="I32" s="19"/>
      <c r="J32" s="19"/>
      <c r="K32" s="19"/>
      <c r="L32" s="19"/>
      <c r="M32" s="18"/>
      <c r="N32" s="18"/>
      <c r="O32" s="18"/>
      <c r="P32" s="18"/>
      <c r="Q32" s="18"/>
      <c r="R32" s="18"/>
      <c r="S32" s="18"/>
      <c r="T32" s="19"/>
      <c r="U32" s="48"/>
      <c r="V32" s="21"/>
      <c r="W32" s="21"/>
      <c r="X32" s="21"/>
      <c r="Y32" s="21"/>
      <c r="Z32" s="22"/>
    </row>
    <row r="33" spans="1:26" s="3" customFormat="1" ht="30" customHeight="1" x14ac:dyDescent="0.25">
      <c r="A33" s="17">
        <v>10</v>
      </c>
      <c r="B33" s="106">
        <v>12304</v>
      </c>
      <c r="C33" s="31" t="s">
        <v>73</v>
      </c>
      <c r="D33" s="32" t="s">
        <v>8</v>
      </c>
      <c r="E33" s="18"/>
      <c r="F33" s="18"/>
      <c r="G33" s="18"/>
      <c r="H33" s="19"/>
      <c r="I33" s="19"/>
      <c r="J33" s="19"/>
      <c r="K33" s="19"/>
      <c r="L33" s="19"/>
      <c r="M33" s="18"/>
      <c r="N33" s="18"/>
      <c r="O33" s="18"/>
      <c r="P33" s="18"/>
      <c r="Q33" s="18"/>
      <c r="R33" s="18"/>
      <c r="S33" s="18"/>
      <c r="T33" s="19"/>
      <c r="U33" s="48"/>
      <c r="V33" s="21"/>
      <c r="W33" s="21"/>
      <c r="X33" s="21"/>
      <c r="Y33" s="21"/>
      <c r="Z33" s="22"/>
    </row>
    <row r="34" spans="1:26" s="3" customFormat="1" ht="30" customHeight="1" x14ac:dyDescent="0.25">
      <c r="A34" s="17">
        <v>11</v>
      </c>
      <c r="B34" s="106">
        <v>12312</v>
      </c>
      <c r="C34" s="69" t="s">
        <v>74</v>
      </c>
      <c r="D34" s="32" t="s">
        <v>7</v>
      </c>
      <c r="E34" s="18"/>
      <c r="F34" s="18"/>
      <c r="G34" s="18"/>
      <c r="H34" s="19"/>
      <c r="I34" s="19"/>
      <c r="J34" s="19"/>
      <c r="K34" s="19"/>
      <c r="L34" s="19"/>
      <c r="M34" s="18"/>
      <c r="N34" s="18"/>
      <c r="O34" s="18"/>
      <c r="P34" s="18"/>
      <c r="Q34" s="18"/>
      <c r="R34" s="18"/>
      <c r="S34" s="18"/>
      <c r="T34" s="19"/>
      <c r="U34" s="48"/>
      <c r="V34" s="21"/>
      <c r="W34" s="21"/>
      <c r="X34" s="21"/>
      <c r="Y34" s="21"/>
      <c r="Z34" s="22"/>
    </row>
    <row r="35" spans="1:26" s="3" customFormat="1" ht="30" customHeight="1" x14ac:dyDescent="0.25">
      <c r="A35" s="17">
        <v>12</v>
      </c>
      <c r="B35" s="106">
        <v>12327</v>
      </c>
      <c r="C35" s="31" t="s">
        <v>75</v>
      </c>
      <c r="D35" s="32" t="s">
        <v>7</v>
      </c>
      <c r="E35" s="18"/>
      <c r="F35" s="18"/>
      <c r="G35" s="18"/>
      <c r="H35" s="19"/>
      <c r="I35" s="19"/>
      <c r="J35" s="19"/>
      <c r="K35" s="19"/>
      <c r="L35" s="19"/>
      <c r="M35" s="18"/>
      <c r="N35" s="18"/>
      <c r="O35" s="18"/>
      <c r="P35" s="18"/>
      <c r="Q35" s="18"/>
      <c r="R35" s="18"/>
      <c r="S35" s="18"/>
      <c r="T35" s="19"/>
      <c r="U35" s="48"/>
      <c r="V35" s="21"/>
      <c r="W35" s="21"/>
      <c r="X35" s="21"/>
      <c r="Y35" s="21"/>
      <c r="Z35" s="22"/>
    </row>
    <row r="36" spans="1:26" s="3" customFormat="1" ht="30" customHeight="1" x14ac:dyDescent="0.25">
      <c r="A36" s="17">
        <v>13</v>
      </c>
      <c r="B36" s="106">
        <v>12332</v>
      </c>
      <c r="C36" s="31" t="s">
        <v>76</v>
      </c>
      <c r="D36" s="32" t="s">
        <v>8</v>
      </c>
      <c r="E36" s="18"/>
      <c r="F36" s="18"/>
      <c r="G36" s="18"/>
      <c r="H36" s="19"/>
      <c r="I36" s="19"/>
      <c r="J36" s="19"/>
      <c r="K36" s="19"/>
      <c r="L36" s="19"/>
      <c r="M36" s="18"/>
      <c r="N36" s="18"/>
      <c r="O36" s="18"/>
      <c r="P36" s="18"/>
      <c r="Q36" s="18"/>
      <c r="R36" s="18"/>
      <c r="S36" s="18"/>
      <c r="T36" s="19"/>
      <c r="U36" s="48"/>
      <c r="V36" s="21"/>
      <c r="W36" s="21"/>
      <c r="X36" s="21"/>
      <c r="Y36" s="21"/>
      <c r="Z36" s="22"/>
    </row>
    <row r="37" spans="1:26" s="3" customFormat="1" ht="30" customHeight="1" x14ac:dyDescent="0.25">
      <c r="A37" s="17">
        <v>14</v>
      </c>
      <c r="B37" s="106">
        <v>12338</v>
      </c>
      <c r="C37" s="31" t="s">
        <v>77</v>
      </c>
      <c r="D37" s="32" t="s">
        <v>8</v>
      </c>
      <c r="E37" s="18"/>
      <c r="F37" s="18"/>
      <c r="G37" s="18"/>
      <c r="H37" s="19"/>
      <c r="I37" s="19"/>
      <c r="J37" s="19"/>
      <c r="K37" s="19"/>
      <c r="L37" s="19"/>
      <c r="M37" s="18"/>
      <c r="N37" s="18"/>
      <c r="O37" s="18"/>
      <c r="P37" s="18"/>
      <c r="Q37" s="18"/>
      <c r="R37" s="18"/>
      <c r="S37" s="18"/>
      <c r="T37" s="19"/>
      <c r="U37" s="48"/>
      <c r="V37" s="21"/>
      <c r="W37" s="21"/>
      <c r="X37" s="21"/>
      <c r="Y37" s="21"/>
      <c r="Z37" s="22"/>
    </row>
    <row r="38" spans="1:26" s="3" customFormat="1" ht="30" customHeight="1" x14ac:dyDescent="0.25">
      <c r="A38" s="17">
        <v>15</v>
      </c>
      <c r="B38" s="106">
        <v>12362</v>
      </c>
      <c r="C38" s="33" t="s">
        <v>78</v>
      </c>
      <c r="D38" s="34" t="s">
        <v>7</v>
      </c>
      <c r="E38" s="18"/>
      <c r="F38" s="18"/>
      <c r="G38" s="18"/>
      <c r="H38" s="19"/>
      <c r="I38" s="19"/>
      <c r="J38" s="19"/>
      <c r="K38" s="19"/>
      <c r="L38" s="19"/>
      <c r="M38" s="18"/>
      <c r="N38" s="18"/>
      <c r="O38" s="18"/>
      <c r="P38" s="18"/>
      <c r="Q38" s="18"/>
      <c r="R38" s="18"/>
      <c r="S38" s="18"/>
      <c r="T38" s="19"/>
      <c r="U38" s="48"/>
      <c r="V38" s="21"/>
      <c r="W38" s="21"/>
      <c r="X38" s="21"/>
      <c r="Y38" s="21"/>
      <c r="Z38" s="22"/>
    </row>
    <row r="39" spans="1:26" s="3" customFormat="1" ht="30" customHeight="1" x14ac:dyDescent="0.25">
      <c r="A39" s="17">
        <v>16</v>
      </c>
      <c r="B39" s="106">
        <v>12364</v>
      </c>
      <c r="C39" s="129" t="s">
        <v>79</v>
      </c>
      <c r="D39" s="32" t="s">
        <v>7</v>
      </c>
      <c r="E39" s="18"/>
      <c r="F39" s="18"/>
      <c r="G39" s="18"/>
      <c r="H39" s="19"/>
      <c r="I39" s="19"/>
      <c r="J39" s="19"/>
      <c r="K39" s="19"/>
      <c r="L39" s="19"/>
      <c r="M39" s="18"/>
      <c r="N39" s="18"/>
      <c r="O39" s="18"/>
      <c r="P39" s="18"/>
      <c r="Q39" s="18"/>
      <c r="R39" s="18"/>
      <c r="S39" s="18"/>
      <c r="T39" s="19"/>
      <c r="U39" s="48"/>
      <c r="V39" s="21"/>
      <c r="W39" s="21"/>
      <c r="X39" s="21"/>
      <c r="Y39" s="21"/>
      <c r="Z39" s="22"/>
    </row>
    <row r="40" spans="1:26" s="3" customFormat="1" ht="30" customHeight="1" x14ac:dyDescent="0.25">
      <c r="A40" s="17">
        <v>17</v>
      </c>
      <c r="B40" s="106">
        <v>12368</v>
      </c>
      <c r="C40" s="132" t="s">
        <v>80</v>
      </c>
      <c r="D40" s="32" t="s">
        <v>7</v>
      </c>
      <c r="E40" s="18"/>
      <c r="F40" s="18"/>
      <c r="G40" s="18"/>
      <c r="H40" s="19"/>
      <c r="I40" s="19"/>
      <c r="J40" s="19"/>
      <c r="K40" s="19"/>
      <c r="L40" s="19"/>
      <c r="M40" s="18"/>
      <c r="N40" s="18"/>
      <c r="O40" s="18"/>
      <c r="P40" s="18">
        <v>1</v>
      </c>
      <c r="Q40" s="18"/>
      <c r="R40" s="18"/>
      <c r="S40" s="18"/>
      <c r="T40" s="19">
        <v>1</v>
      </c>
      <c r="U40" s="171">
        <v>1</v>
      </c>
      <c r="V40" s="172"/>
      <c r="W40" s="172"/>
      <c r="X40" s="172"/>
      <c r="Y40" s="172"/>
      <c r="Z40" s="173"/>
    </row>
    <row r="41" spans="1:26" s="3" customFormat="1" ht="30" customHeight="1" x14ac:dyDescent="0.25">
      <c r="A41" s="17">
        <v>18</v>
      </c>
      <c r="B41" s="106">
        <v>12375</v>
      </c>
      <c r="C41" s="31" t="s">
        <v>81</v>
      </c>
      <c r="D41" s="34" t="s">
        <v>7</v>
      </c>
      <c r="E41" s="18"/>
      <c r="F41" s="18"/>
      <c r="G41" s="18"/>
      <c r="H41" s="19"/>
      <c r="I41" s="19"/>
      <c r="J41" s="19"/>
      <c r="K41" s="19"/>
      <c r="L41" s="19"/>
      <c r="M41" s="18"/>
      <c r="N41" s="18"/>
      <c r="O41" s="18"/>
      <c r="P41" s="18">
        <v>1</v>
      </c>
      <c r="Q41" s="18"/>
      <c r="R41" s="18"/>
      <c r="S41" s="18"/>
      <c r="T41" s="19">
        <v>1</v>
      </c>
      <c r="U41" s="171">
        <v>1</v>
      </c>
      <c r="V41" s="172"/>
      <c r="W41" s="172"/>
      <c r="X41" s="172"/>
      <c r="Y41" s="172"/>
      <c r="Z41" s="173"/>
    </row>
    <row r="42" spans="1:26" s="3" customFormat="1" ht="30" customHeight="1" x14ac:dyDescent="0.25">
      <c r="A42" s="17">
        <v>19</v>
      </c>
      <c r="B42" s="106">
        <v>12383</v>
      </c>
      <c r="C42" s="33" t="s">
        <v>82</v>
      </c>
      <c r="D42" s="32" t="s">
        <v>7</v>
      </c>
      <c r="E42" s="18"/>
      <c r="F42" s="18"/>
      <c r="G42" s="18"/>
      <c r="H42" s="19"/>
      <c r="I42" s="19"/>
      <c r="J42" s="19"/>
      <c r="K42" s="19"/>
      <c r="L42" s="19"/>
      <c r="M42" s="18"/>
      <c r="N42" s="18"/>
      <c r="O42" s="18"/>
      <c r="P42" s="18">
        <v>1</v>
      </c>
      <c r="Q42" s="18"/>
      <c r="R42" s="18"/>
      <c r="S42" s="18"/>
      <c r="T42" s="19">
        <v>1</v>
      </c>
      <c r="U42" s="171">
        <v>1</v>
      </c>
      <c r="V42" s="172"/>
      <c r="W42" s="172"/>
      <c r="X42" s="172"/>
      <c r="Y42" s="172"/>
      <c r="Z42" s="173"/>
    </row>
    <row r="43" spans="1:26" s="3" customFormat="1" ht="30" customHeight="1" x14ac:dyDescent="0.25">
      <c r="A43" s="17">
        <v>20</v>
      </c>
      <c r="B43" s="106">
        <v>12390</v>
      </c>
      <c r="C43" s="31" t="s">
        <v>83</v>
      </c>
      <c r="D43" s="32" t="s">
        <v>7</v>
      </c>
      <c r="E43" s="18"/>
      <c r="F43" s="18"/>
      <c r="G43" s="18"/>
      <c r="H43" s="19"/>
      <c r="I43" s="19"/>
      <c r="J43" s="19"/>
      <c r="K43" s="19"/>
      <c r="L43" s="19"/>
      <c r="M43" s="18"/>
      <c r="N43" s="18"/>
      <c r="O43" s="18"/>
      <c r="P43" s="18">
        <v>1</v>
      </c>
      <c r="Q43" s="18"/>
      <c r="R43" s="18"/>
      <c r="S43" s="18"/>
      <c r="T43" s="19">
        <v>1</v>
      </c>
      <c r="U43" s="171">
        <v>1</v>
      </c>
      <c r="V43" s="172"/>
      <c r="W43" s="172"/>
      <c r="X43" s="172"/>
      <c r="Y43" s="172"/>
      <c r="Z43" s="173"/>
    </row>
    <row r="44" spans="1:26" s="3" customFormat="1" ht="30" customHeight="1" x14ac:dyDescent="0.25">
      <c r="A44" s="17">
        <v>21</v>
      </c>
      <c r="B44" s="106">
        <v>12393</v>
      </c>
      <c r="C44" s="31" t="s">
        <v>84</v>
      </c>
      <c r="D44" s="32" t="s">
        <v>7</v>
      </c>
      <c r="E44" s="18"/>
      <c r="F44" s="18"/>
      <c r="G44" s="18"/>
      <c r="H44" s="19"/>
      <c r="I44" s="19"/>
      <c r="J44" s="19"/>
      <c r="K44" s="19"/>
      <c r="L44" s="19"/>
      <c r="M44" s="18"/>
      <c r="N44" s="18"/>
      <c r="O44" s="18"/>
      <c r="P44" s="18">
        <v>1</v>
      </c>
      <c r="Q44" s="18"/>
      <c r="R44" s="18"/>
      <c r="S44" s="18"/>
      <c r="T44" s="19">
        <v>1</v>
      </c>
      <c r="U44" s="171">
        <v>1</v>
      </c>
      <c r="V44" s="172"/>
      <c r="W44" s="172"/>
      <c r="X44" s="172"/>
      <c r="Y44" s="172"/>
      <c r="Z44" s="173"/>
    </row>
    <row r="45" spans="1:26" s="3" customFormat="1" ht="30" customHeight="1" x14ac:dyDescent="0.25">
      <c r="A45" s="17">
        <v>22</v>
      </c>
      <c r="B45" s="106">
        <v>12408</v>
      </c>
      <c r="C45" s="31" t="s">
        <v>85</v>
      </c>
      <c r="D45" s="32" t="s">
        <v>8</v>
      </c>
      <c r="E45" s="18"/>
      <c r="F45" s="18"/>
      <c r="G45" s="18"/>
      <c r="H45" s="19"/>
      <c r="I45" s="19"/>
      <c r="J45" s="19"/>
      <c r="K45" s="19"/>
      <c r="L45" s="19"/>
      <c r="M45" s="18"/>
      <c r="N45" s="18"/>
      <c r="O45" s="18"/>
      <c r="P45" s="18">
        <v>1</v>
      </c>
      <c r="Q45" s="18"/>
      <c r="R45" s="18"/>
      <c r="S45" s="18"/>
      <c r="T45" s="19">
        <v>1</v>
      </c>
      <c r="U45" s="171">
        <v>1</v>
      </c>
      <c r="V45" s="172"/>
      <c r="W45" s="172"/>
      <c r="X45" s="172"/>
      <c r="Y45" s="172"/>
      <c r="Z45" s="173"/>
    </row>
    <row r="46" spans="1:26" s="3" customFormat="1" ht="30" customHeight="1" x14ac:dyDescent="0.25">
      <c r="A46" s="17">
        <v>23</v>
      </c>
      <c r="B46" s="106">
        <v>12412</v>
      </c>
      <c r="C46" s="31" t="s">
        <v>86</v>
      </c>
      <c r="D46" s="32" t="s">
        <v>8</v>
      </c>
      <c r="E46" s="18"/>
      <c r="F46" s="18"/>
      <c r="G46" s="18"/>
      <c r="H46" s="19"/>
      <c r="I46" s="19"/>
      <c r="J46" s="19"/>
      <c r="K46" s="19"/>
      <c r="L46" s="19"/>
      <c r="M46" s="18"/>
      <c r="N46" s="18"/>
      <c r="O46" s="18"/>
      <c r="P46" s="18">
        <v>1</v>
      </c>
      <c r="Q46" s="18"/>
      <c r="R46" s="18"/>
      <c r="S46" s="18"/>
      <c r="T46" s="19">
        <v>1</v>
      </c>
      <c r="U46" s="171">
        <v>1</v>
      </c>
      <c r="V46" s="172"/>
      <c r="W46" s="172"/>
      <c r="X46" s="172"/>
      <c r="Y46" s="172"/>
      <c r="Z46" s="173"/>
    </row>
    <row r="47" spans="1:26" s="3" customFormat="1" ht="30" customHeight="1" x14ac:dyDescent="0.25">
      <c r="A47" s="17">
        <v>24</v>
      </c>
      <c r="B47" s="106">
        <v>12424</v>
      </c>
      <c r="C47" s="31" t="s">
        <v>87</v>
      </c>
      <c r="D47" s="32" t="s">
        <v>7</v>
      </c>
      <c r="E47" s="18"/>
      <c r="F47" s="18"/>
      <c r="G47" s="18"/>
      <c r="H47" s="19"/>
      <c r="I47" s="19"/>
      <c r="J47" s="19"/>
      <c r="K47" s="19"/>
      <c r="L47" s="19"/>
      <c r="M47" s="18"/>
      <c r="N47" s="18"/>
      <c r="O47" s="18"/>
      <c r="P47" s="18">
        <v>1</v>
      </c>
      <c r="Q47" s="18"/>
      <c r="R47" s="18"/>
      <c r="S47" s="18"/>
      <c r="T47" s="19">
        <v>1</v>
      </c>
      <c r="U47" s="171">
        <v>1</v>
      </c>
      <c r="V47" s="172"/>
      <c r="W47" s="172"/>
      <c r="X47" s="172"/>
      <c r="Y47" s="172"/>
      <c r="Z47" s="173"/>
    </row>
    <row r="48" spans="1:26" s="3" customFormat="1" ht="30" customHeight="1" x14ac:dyDescent="0.25">
      <c r="A48" s="17">
        <v>25</v>
      </c>
      <c r="B48" s="106">
        <v>12427</v>
      </c>
      <c r="C48" s="31" t="s">
        <v>88</v>
      </c>
      <c r="D48" s="32" t="s">
        <v>7</v>
      </c>
      <c r="E48" s="18"/>
      <c r="F48" s="18"/>
      <c r="G48" s="18"/>
      <c r="H48" s="19"/>
      <c r="I48" s="19"/>
      <c r="J48" s="19"/>
      <c r="K48" s="19"/>
      <c r="L48" s="19"/>
      <c r="M48" s="18"/>
      <c r="N48" s="18"/>
      <c r="O48" s="18"/>
      <c r="P48" s="18">
        <v>1</v>
      </c>
      <c r="Q48" s="18"/>
      <c r="R48" s="18"/>
      <c r="S48" s="18"/>
      <c r="T48" s="19">
        <v>1</v>
      </c>
      <c r="U48" s="171">
        <v>1</v>
      </c>
      <c r="V48" s="172"/>
      <c r="W48" s="172"/>
      <c r="X48" s="172"/>
      <c r="Y48" s="172"/>
      <c r="Z48" s="173"/>
    </row>
    <row r="49" spans="1:26" s="3" customFormat="1" ht="30" customHeight="1" x14ac:dyDescent="0.25">
      <c r="A49" s="17">
        <v>26</v>
      </c>
      <c r="B49" s="106">
        <v>12433</v>
      </c>
      <c r="C49" s="31" t="s">
        <v>89</v>
      </c>
      <c r="D49" s="32" t="s">
        <v>7</v>
      </c>
      <c r="E49" s="18"/>
      <c r="F49" s="18"/>
      <c r="G49" s="18"/>
      <c r="H49" s="19"/>
      <c r="I49" s="19"/>
      <c r="J49" s="19"/>
      <c r="K49" s="19"/>
      <c r="L49" s="19"/>
      <c r="M49" s="18"/>
      <c r="N49" s="18"/>
      <c r="O49" s="18"/>
      <c r="P49" s="18"/>
      <c r="Q49" s="18"/>
      <c r="R49" s="18"/>
      <c r="S49" s="18"/>
      <c r="T49" s="19"/>
      <c r="U49" s="48"/>
      <c r="V49" s="21"/>
      <c r="W49" s="21"/>
      <c r="X49" s="21"/>
      <c r="Y49" s="21"/>
      <c r="Z49" s="22"/>
    </row>
    <row r="50" spans="1:26" s="3" customFormat="1" ht="30" customHeight="1" x14ac:dyDescent="0.25">
      <c r="A50" s="17">
        <v>27</v>
      </c>
      <c r="B50" s="106">
        <v>12436</v>
      </c>
      <c r="C50" s="31" t="s">
        <v>90</v>
      </c>
      <c r="D50" s="32" t="s">
        <v>7</v>
      </c>
      <c r="E50" s="18"/>
      <c r="F50" s="18"/>
      <c r="G50" s="18"/>
      <c r="H50" s="19"/>
      <c r="I50" s="19"/>
      <c r="J50" s="19"/>
      <c r="K50" s="19"/>
      <c r="L50" s="19"/>
      <c r="M50" s="18"/>
      <c r="N50" s="18"/>
      <c r="O50" s="18"/>
      <c r="P50" s="18">
        <v>1</v>
      </c>
      <c r="Q50" s="18"/>
      <c r="R50" s="18"/>
      <c r="S50" s="18"/>
      <c r="T50" s="19">
        <v>1</v>
      </c>
      <c r="U50" s="171">
        <v>1</v>
      </c>
      <c r="V50" s="172"/>
      <c r="W50" s="172"/>
      <c r="X50" s="172"/>
      <c r="Y50" s="172"/>
      <c r="Z50" s="173"/>
    </row>
    <row r="51" spans="1:26" s="3" customFormat="1" ht="30" customHeight="1" x14ac:dyDescent="0.25">
      <c r="A51" s="17">
        <v>28</v>
      </c>
      <c r="B51" s="106">
        <v>12447</v>
      </c>
      <c r="C51" s="31" t="s">
        <v>91</v>
      </c>
      <c r="D51" s="32" t="s">
        <v>8</v>
      </c>
      <c r="E51" s="18"/>
      <c r="F51" s="18"/>
      <c r="G51" s="18"/>
      <c r="H51" s="19"/>
      <c r="I51" s="19"/>
      <c r="J51" s="19"/>
      <c r="K51" s="19"/>
      <c r="L51" s="19"/>
      <c r="M51" s="18"/>
      <c r="N51" s="18"/>
      <c r="O51" s="18"/>
      <c r="P51" s="18"/>
      <c r="Q51" s="18"/>
      <c r="R51" s="18"/>
      <c r="S51" s="18"/>
      <c r="T51" s="19"/>
      <c r="U51" s="171">
        <v>1</v>
      </c>
      <c r="V51" s="172"/>
      <c r="W51" s="172"/>
      <c r="X51" s="172"/>
      <c r="Y51" s="172"/>
      <c r="Z51" s="173"/>
    </row>
    <row r="52" spans="1:26" s="4" customFormat="1" ht="30" customHeight="1" x14ac:dyDescent="0.25">
      <c r="A52" s="17">
        <v>29</v>
      </c>
      <c r="B52" s="106">
        <v>12451</v>
      </c>
      <c r="C52" s="31" t="s">
        <v>92</v>
      </c>
      <c r="D52" s="32" t="s">
        <v>8</v>
      </c>
      <c r="E52" s="18"/>
      <c r="F52" s="18"/>
      <c r="G52" s="18"/>
      <c r="H52" s="19"/>
      <c r="I52" s="19"/>
      <c r="J52" s="19"/>
      <c r="K52" s="19"/>
      <c r="L52" s="19"/>
      <c r="M52" s="18"/>
      <c r="N52" s="18"/>
      <c r="O52" s="18"/>
      <c r="P52" s="18"/>
      <c r="Q52" s="18"/>
      <c r="R52" s="18"/>
      <c r="S52" s="18"/>
      <c r="T52" s="19"/>
      <c r="U52" s="20"/>
      <c r="V52" s="21"/>
      <c r="W52" s="21"/>
      <c r="X52" s="21"/>
      <c r="Y52" s="21"/>
      <c r="Z52" s="22"/>
    </row>
    <row r="53" spans="1:26" s="4" customFormat="1" ht="30" customHeight="1" x14ac:dyDescent="0.25">
      <c r="A53" s="17">
        <v>30</v>
      </c>
      <c r="B53" s="106">
        <v>12457</v>
      </c>
      <c r="C53" s="31" t="s">
        <v>93</v>
      </c>
      <c r="D53" s="32" t="s">
        <v>7</v>
      </c>
      <c r="E53" s="18"/>
      <c r="F53" s="18"/>
      <c r="G53" s="18"/>
      <c r="H53" s="19"/>
      <c r="I53" s="19"/>
      <c r="J53" s="19"/>
      <c r="K53" s="19"/>
      <c r="L53" s="19"/>
      <c r="M53" s="18"/>
      <c r="N53" s="18"/>
      <c r="O53" s="18"/>
      <c r="P53" s="18"/>
      <c r="Q53" s="18"/>
      <c r="R53" s="18"/>
      <c r="S53" s="18"/>
      <c r="T53" s="19"/>
      <c r="U53" s="20"/>
      <c r="V53" s="21"/>
      <c r="W53" s="21"/>
      <c r="X53" s="21"/>
      <c r="Y53" s="21"/>
      <c r="Z53" s="22"/>
    </row>
    <row r="54" spans="1:26" s="4" customFormat="1" ht="30" customHeight="1" x14ac:dyDescent="0.25">
      <c r="A54" s="17">
        <v>31</v>
      </c>
      <c r="B54" s="106">
        <v>12459</v>
      </c>
      <c r="C54" s="31" t="s">
        <v>94</v>
      </c>
      <c r="D54" s="32" t="s">
        <v>8</v>
      </c>
      <c r="E54" s="18"/>
      <c r="F54" s="18"/>
      <c r="G54" s="18"/>
      <c r="H54" s="19"/>
      <c r="I54" s="19"/>
      <c r="J54" s="19"/>
      <c r="K54" s="19"/>
      <c r="L54" s="19"/>
      <c r="M54" s="18"/>
      <c r="N54" s="18"/>
      <c r="O54" s="18"/>
      <c r="P54" s="18"/>
      <c r="Q54" s="18"/>
      <c r="R54" s="18"/>
      <c r="S54" s="18"/>
      <c r="T54" s="19"/>
      <c r="U54" s="20"/>
      <c r="V54" s="21"/>
      <c r="W54" s="21"/>
      <c r="X54" s="21"/>
      <c r="Y54" s="21"/>
      <c r="Z54" s="22"/>
    </row>
    <row r="55" spans="1:26" s="4" customFormat="1" ht="30" customHeight="1" x14ac:dyDescent="0.25">
      <c r="A55" s="17">
        <v>32</v>
      </c>
      <c r="B55" s="106">
        <v>12463</v>
      </c>
      <c r="C55" s="112" t="s">
        <v>95</v>
      </c>
      <c r="D55" s="32" t="s">
        <v>7</v>
      </c>
      <c r="E55" s="18"/>
      <c r="F55" s="18"/>
      <c r="G55" s="18"/>
      <c r="H55" s="19"/>
      <c r="I55" s="19"/>
      <c r="J55" s="19"/>
      <c r="K55" s="19"/>
      <c r="L55" s="19"/>
      <c r="M55" s="18"/>
      <c r="N55" s="18"/>
      <c r="O55" s="18"/>
      <c r="P55" s="18"/>
      <c r="Q55" s="18"/>
      <c r="R55" s="18"/>
      <c r="S55" s="18"/>
      <c r="T55" s="19"/>
      <c r="U55" s="20"/>
      <c r="V55" s="21"/>
      <c r="W55" s="21"/>
      <c r="X55" s="21"/>
      <c r="Y55" s="21"/>
      <c r="Z55" s="22"/>
    </row>
    <row r="56" spans="1:26" s="4" customFormat="1" ht="30" customHeight="1" x14ac:dyDescent="0.25">
      <c r="A56" s="17">
        <v>33</v>
      </c>
      <c r="B56" s="106">
        <v>12465</v>
      </c>
      <c r="C56" s="31" t="s">
        <v>96</v>
      </c>
      <c r="D56" s="32" t="s">
        <v>7</v>
      </c>
      <c r="E56" s="18"/>
      <c r="F56" s="18"/>
      <c r="G56" s="18"/>
      <c r="H56" s="19"/>
      <c r="I56" s="19"/>
      <c r="J56" s="19"/>
      <c r="K56" s="19"/>
      <c r="L56" s="19"/>
      <c r="M56" s="18"/>
      <c r="N56" s="18"/>
      <c r="O56" s="18"/>
      <c r="P56" s="18">
        <v>1</v>
      </c>
      <c r="Q56" s="18"/>
      <c r="R56" s="18"/>
      <c r="S56" s="18"/>
      <c r="T56" s="19">
        <v>1</v>
      </c>
      <c r="U56" s="20"/>
      <c r="V56" s="21"/>
      <c r="W56" s="21"/>
      <c r="X56" s="21"/>
      <c r="Y56" s="21"/>
      <c r="Z56" s="22"/>
    </row>
    <row r="57" spans="1:26" s="4" customFormat="1" ht="30" customHeight="1" x14ac:dyDescent="0.25">
      <c r="A57" s="17">
        <v>34</v>
      </c>
      <c r="B57" s="106">
        <v>12471</v>
      </c>
      <c r="C57" s="31" t="s">
        <v>97</v>
      </c>
      <c r="D57" s="32" t="s">
        <v>8</v>
      </c>
      <c r="E57" s="18"/>
      <c r="F57" s="18"/>
      <c r="G57" s="18"/>
      <c r="H57" s="19"/>
      <c r="I57" s="19"/>
      <c r="J57" s="19"/>
      <c r="K57" s="19"/>
      <c r="L57" s="19"/>
      <c r="M57" s="18"/>
      <c r="N57" s="18"/>
      <c r="O57" s="18"/>
      <c r="P57" s="19"/>
      <c r="Q57" s="19"/>
      <c r="R57" s="19"/>
      <c r="S57" s="19"/>
      <c r="T57" s="19"/>
      <c r="U57" s="20"/>
      <c r="V57" s="21"/>
      <c r="W57" s="21"/>
      <c r="X57" s="21"/>
      <c r="Y57" s="21"/>
      <c r="Z57" s="22"/>
    </row>
    <row r="58" spans="1:26" s="6" customFormat="1" ht="30" customHeight="1" x14ac:dyDescent="0.25">
      <c r="A58" s="54"/>
      <c r="B58" s="55"/>
      <c r="C58" s="45" t="s">
        <v>9</v>
      </c>
      <c r="D58" s="70">
        <f>COUNTIF(D24:D57,"L")</f>
        <v>22</v>
      </c>
      <c r="E58" s="24"/>
      <c r="F58" s="25"/>
      <c r="G58" s="25"/>
      <c r="H58" s="25"/>
      <c r="I58" s="25"/>
      <c r="J58" s="26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s="6" customFormat="1" ht="30" customHeight="1" x14ac:dyDescent="0.25">
      <c r="A59" s="54"/>
      <c r="B59" s="54"/>
      <c r="C59" s="45" t="s">
        <v>10</v>
      </c>
      <c r="D59" s="37">
        <f>COUNTIF(D24:D57,"P")</f>
        <v>12</v>
      </c>
      <c r="E59" s="27"/>
      <c r="F59" s="26"/>
      <c r="G59" s="26"/>
      <c r="H59" s="26"/>
      <c r="I59" s="26"/>
      <c r="J59" s="26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30" customHeight="1" x14ac:dyDescent="0.25">
      <c r="A60" s="58"/>
      <c r="B60" s="58"/>
      <c r="C60" s="46" t="s">
        <v>11</v>
      </c>
      <c r="D60" s="47">
        <f>SUM(D58:D59)</f>
        <v>34</v>
      </c>
      <c r="E60" s="27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4.45" customHeight="1" x14ac:dyDescent="0.25">
      <c r="A61" s="26"/>
      <c r="B61" s="26"/>
      <c r="C61" s="170" t="s">
        <v>12</v>
      </c>
      <c r="D61" s="170"/>
      <c r="E61" s="29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4.45" customHeight="1" x14ac:dyDescent="0.25">
      <c r="A62" s="26"/>
      <c r="B62" s="26"/>
      <c r="E62" s="29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4.45" customHeight="1" x14ac:dyDescent="0.25">
      <c r="A63" s="26"/>
      <c r="B63" s="26"/>
      <c r="D63" s="28"/>
      <c r="E63" s="29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x14ac:dyDescent="0.25">
      <c r="A64" s="2"/>
      <c r="B64" s="2"/>
      <c r="C64" s="8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x14ac:dyDescent="0.25">
      <c r="A65" s="2"/>
      <c r="B65" s="2"/>
      <c r="C65" s="8"/>
      <c r="D65" s="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x14ac:dyDescent="0.25">
      <c r="A66" s="2"/>
      <c r="B66" s="2"/>
      <c r="C66" s="8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8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x14ac:dyDescent="0.25">
      <c r="A68" s="2"/>
      <c r="B68" s="2"/>
      <c r="C68" s="8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C69" s="5"/>
      <c r="D69" s="5"/>
    </row>
    <row r="70" spans="1:26" ht="12.75" customHeight="1" x14ac:dyDescent="0.3">
      <c r="C70" s="5"/>
      <c r="D70" s="5"/>
    </row>
  </sheetData>
  <sheetProtection selectLockedCells="1" selectUnlockedCells="1"/>
  <mergeCells count="27">
    <mergeCell ref="U41:Z41"/>
    <mergeCell ref="U51:Z51"/>
    <mergeCell ref="U44:Z44"/>
    <mergeCell ref="U24:Z24"/>
    <mergeCell ref="U40:Z40"/>
    <mergeCell ref="U45:Z45"/>
    <mergeCell ref="U25:Z25"/>
    <mergeCell ref="U43:Z43"/>
    <mergeCell ref="U42:Z42"/>
    <mergeCell ref="U26:Z26"/>
    <mergeCell ref="U27:Z27"/>
    <mergeCell ref="U28:Z28"/>
    <mergeCell ref="U29:Z29"/>
    <mergeCell ref="C61:D61"/>
    <mergeCell ref="U46:Z46"/>
    <mergeCell ref="U47:Z47"/>
    <mergeCell ref="U48:Z48"/>
    <mergeCell ref="U50:Z50"/>
    <mergeCell ref="A14:Z14"/>
    <mergeCell ref="A15:Z15"/>
    <mergeCell ref="A20:A23"/>
    <mergeCell ref="B20:B23"/>
    <mergeCell ref="C20:C23"/>
    <mergeCell ref="D20:D23"/>
    <mergeCell ref="E20:T20"/>
    <mergeCell ref="E21:T22"/>
    <mergeCell ref="U20:Z23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1"/>
  <sheetViews>
    <sheetView view="pageBreakPreview" topLeftCell="A46" zoomScale="75" zoomScaleNormal="75" zoomScaleSheetLayoutView="75" workbookViewId="0">
      <selection activeCell="C38" sqref="C38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7.100000000000001" customHeight="1" x14ac:dyDescent="0.2"/>
    <row r="14" spans="1:26" ht="20.45" customHeight="1" x14ac:dyDescent="0.2">
      <c r="A14" s="147" t="s">
        <v>13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18.95" customHeight="1" x14ac:dyDescent="0.2">
      <c r="A15" s="147" t="s">
        <v>29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12.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8" ht="17.100000000000001" customHeight="1" x14ac:dyDescent="0.2">
      <c r="A17" s="41"/>
      <c r="B17" s="41"/>
      <c r="C17" s="41"/>
      <c r="D17" s="41"/>
      <c r="E17" s="111"/>
      <c r="F17" s="111"/>
      <c r="G17" s="111"/>
      <c r="H17" s="50"/>
      <c r="I17" s="50"/>
      <c r="J17" s="41"/>
      <c r="K17" s="41"/>
      <c r="L17" s="50"/>
      <c r="M17" s="158" t="s">
        <v>0</v>
      </c>
      <c r="N17" s="158"/>
      <c r="O17" s="158"/>
      <c r="P17" s="158"/>
      <c r="Q17" s="42" t="s">
        <v>23</v>
      </c>
      <c r="R17" s="42"/>
      <c r="S17" s="50"/>
      <c r="T17" s="50"/>
      <c r="U17" s="65"/>
      <c r="V17" s="65"/>
      <c r="W17" s="50"/>
      <c r="X17" s="50"/>
      <c r="Y17" s="50"/>
      <c r="Z17" s="50"/>
    </row>
    <row r="18" spans="1:28" ht="17.100000000000001" customHeight="1" x14ac:dyDescent="0.2">
      <c r="A18" s="66" t="s">
        <v>18</v>
      </c>
      <c r="B18" s="41"/>
      <c r="C18" s="41"/>
      <c r="D18" s="41"/>
      <c r="E18" s="111"/>
      <c r="F18" s="111"/>
      <c r="G18" s="111"/>
      <c r="H18" s="50"/>
      <c r="I18" s="50"/>
      <c r="J18" s="41"/>
      <c r="K18" s="41"/>
      <c r="L18" s="50"/>
      <c r="M18" s="158" t="s">
        <v>1</v>
      </c>
      <c r="N18" s="158"/>
      <c r="O18" s="158"/>
      <c r="P18" s="158"/>
      <c r="Q18" s="42" t="s">
        <v>317</v>
      </c>
      <c r="R18" s="50"/>
      <c r="S18" s="50"/>
      <c r="T18" s="50"/>
      <c r="U18" s="50"/>
      <c r="V18" s="50"/>
      <c r="W18" s="50"/>
      <c r="X18" s="50"/>
      <c r="Y18" s="50"/>
      <c r="Z18" s="50"/>
    </row>
    <row r="19" spans="1:28" ht="12.6" customHeight="1" x14ac:dyDescent="0.2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77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8" ht="20.100000000000001" customHeight="1" x14ac:dyDescent="0.2">
      <c r="A20" s="151" t="s">
        <v>2</v>
      </c>
      <c r="B20" s="151" t="s">
        <v>3</v>
      </c>
      <c r="C20" s="151" t="s">
        <v>4</v>
      </c>
      <c r="D20" s="151" t="s">
        <v>5</v>
      </c>
      <c r="E20" s="156" t="s">
        <v>6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61"/>
      <c r="U20" s="153" t="s">
        <v>14</v>
      </c>
      <c r="V20" s="153"/>
      <c r="W20" s="153"/>
      <c r="X20" s="153"/>
      <c r="Y20" s="153"/>
      <c r="Z20" s="162"/>
    </row>
    <row r="21" spans="1:28" ht="12.6" customHeight="1" x14ac:dyDescent="0.2">
      <c r="A21" s="151"/>
      <c r="B21" s="151"/>
      <c r="C21" s="151"/>
      <c r="D21" s="151"/>
      <c r="E21" s="152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62"/>
      <c r="U21" s="165"/>
      <c r="V21" s="165"/>
      <c r="W21" s="165"/>
      <c r="X21" s="165"/>
      <c r="Y21" s="165"/>
      <c r="Z21" s="166"/>
    </row>
    <row r="22" spans="1:28" ht="12.6" customHeight="1" x14ac:dyDescent="0.2">
      <c r="A22" s="151"/>
      <c r="B22" s="151"/>
      <c r="C22" s="151"/>
      <c r="D22" s="151"/>
      <c r="E22" s="167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9"/>
      <c r="U22" s="165"/>
      <c r="V22" s="165"/>
      <c r="W22" s="165"/>
      <c r="X22" s="165"/>
      <c r="Y22" s="165"/>
      <c r="Z22" s="166"/>
    </row>
    <row r="23" spans="1:28" ht="20.100000000000001" customHeight="1" x14ac:dyDescent="0.2">
      <c r="A23" s="151"/>
      <c r="B23" s="151"/>
      <c r="C23" s="151"/>
      <c r="D23" s="151"/>
      <c r="E23" s="67">
        <v>1</v>
      </c>
      <c r="F23" s="40">
        <v>2</v>
      </c>
      <c r="G23" s="40">
        <v>3</v>
      </c>
      <c r="H23" s="40">
        <v>4</v>
      </c>
      <c r="I23" s="40">
        <v>5</v>
      </c>
      <c r="J23" s="40">
        <v>6</v>
      </c>
      <c r="K23" s="40">
        <v>7</v>
      </c>
      <c r="L23" s="40">
        <v>8</v>
      </c>
      <c r="M23" s="40">
        <v>9</v>
      </c>
      <c r="N23" s="40">
        <v>10</v>
      </c>
      <c r="O23" s="40">
        <v>11</v>
      </c>
      <c r="P23" s="40">
        <v>12</v>
      </c>
      <c r="Q23" s="40">
        <v>13</v>
      </c>
      <c r="R23" s="40">
        <v>14</v>
      </c>
      <c r="S23" s="40">
        <v>15</v>
      </c>
      <c r="T23" s="68">
        <v>16</v>
      </c>
      <c r="U23" s="168"/>
      <c r="V23" s="168"/>
      <c r="W23" s="168"/>
      <c r="X23" s="168"/>
      <c r="Y23" s="168"/>
      <c r="Z23" s="169"/>
    </row>
    <row r="24" spans="1:28" s="3" customFormat="1" ht="30" customHeight="1" x14ac:dyDescent="0.3">
      <c r="A24" s="17">
        <v>1</v>
      </c>
      <c r="B24" s="106">
        <v>12226</v>
      </c>
      <c r="C24" s="31" t="s">
        <v>169</v>
      </c>
      <c r="D24" s="32" t="s">
        <v>7</v>
      </c>
      <c r="E24" s="51">
        <v>1</v>
      </c>
      <c r="F24" s="51"/>
      <c r="G24" s="51"/>
      <c r="H24" s="52"/>
      <c r="I24" s="52"/>
      <c r="J24" s="52"/>
      <c r="K24" s="52"/>
      <c r="L24" s="52"/>
      <c r="M24" s="51"/>
      <c r="N24" s="51"/>
      <c r="O24" s="51"/>
      <c r="P24" s="51">
        <v>1</v>
      </c>
      <c r="Q24" s="51"/>
      <c r="R24" s="51"/>
      <c r="S24" s="51"/>
      <c r="T24" s="52">
        <v>1</v>
      </c>
      <c r="U24" s="174">
        <v>1</v>
      </c>
      <c r="V24" s="174"/>
      <c r="W24" s="174"/>
      <c r="X24" s="174"/>
      <c r="Y24" s="174"/>
      <c r="Z24" s="174"/>
      <c r="AB24" s="7"/>
    </row>
    <row r="25" spans="1:28" s="3" customFormat="1" ht="30" customHeight="1" x14ac:dyDescent="0.3">
      <c r="A25" s="17">
        <v>2</v>
      </c>
      <c r="B25" s="106">
        <v>12231</v>
      </c>
      <c r="C25" s="33" t="s">
        <v>98</v>
      </c>
      <c r="D25" s="34" t="s">
        <v>7</v>
      </c>
      <c r="E25" s="51"/>
      <c r="F25" s="51"/>
      <c r="G25" s="51"/>
      <c r="H25" s="52"/>
      <c r="I25" s="52"/>
      <c r="J25" s="52"/>
      <c r="K25" s="52"/>
      <c r="L25" s="52"/>
      <c r="M25" s="51"/>
      <c r="N25" s="51"/>
      <c r="O25" s="51"/>
      <c r="P25" s="51">
        <v>1</v>
      </c>
      <c r="Q25" s="51"/>
      <c r="R25" s="51"/>
      <c r="S25" s="51"/>
      <c r="T25" s="52">
        <v>1</v>
      </c>
      <c r="U25" s="174">
        <v>1</v>
      </c>
      <c r="V25" s="174"/>
      <c r="W25" s="174"/>
      <c r="X25" s="174"/>
      <c r="Y25" s="174"/>
      <c r="Z25" s="174"/>
      <c r="AB25" s="7"/>
    </row>
    <row r="26" spans="1:28" s="3" customFormat="1" ht="30" customHeight="1" x14ac:dyDescent="0.3">
      <c r="A26" s="17">
        <v>3</v>
      </c>
      <c r="B26" s="106">
        <v>12234</v>
      </c>
      <c r="C26" s="31" t="s">
        <v>99</v>
      </c>
      <c r="D26" s="32" t="s">
        <v>8</v>
      </c>
      <c r="E26" s="51"/>
      <c r="F26" s="51"/>
      <c r="G26" s="51"/>
      <c r="H26" s="52"/>
      <c r="I26" s="52"/>
      <c r="J26" s="52"/>
      <c r="K26" s="52"/>
      <c r="L26" s="52"/>
      <c r="M26" s="51"/>
      <c r="N26" s="51"/>
      <c r="O26" s="51"/>
      <c r="P26" s="51">
        <v>1</v>
      </c>
      <c r="Q26" s="51"/>
      <c r="R26" s="51"/>
      <c r="S26" s="51"/>
      <c r="T26" s="52">
        <v>1</v>
      </c>
      <c r="U26" s="174">
        <v>1</v>
      </c>
      <c r="V26" s="174"/>
      <c r="W26" s="174"/>
      <c r="X26" s="174"/>
      <c r="Y26" s="174"/>
      <c r="Z26" s="174"/>
      <c r="AB26" s="7"/>
    </row>
    <row r="27" spans="1:28" s="3" customFormat="1" ht="30" customHeight="1" x14ac:dyDescent="0.3">
      <c r="A27" s="17">
        <v>4</v>
      </c>
      <c r="B27" s="106">
        <v>12269</v>
      </c>
      <c r="C27" s="112" t="s">
        <v>102</v>
      </c>
      <c r="D27" s="32" t="s">
        <v>8</v>
      </c>
      <c r="E27" s="51"/>
      <c r="F27" s="51"/>
      <c r="G27" s="51"/>
      <c r="H27" s="52"/>
      <c r="I27" s="52"/>
      <c r="J27" s="52"/>
      <c r="K27" s="52"/>
      <c r="L27" s="52"/>
      <c r="M27" s="51"/>
      <c r="N27" s="51"/>
      <c r="O27" s="51"/>
      <c r="P27" s="51">
        <v>1</v>
      </c>
      <c r="Q27" s="51"/>
      <c r="R27" s="51"/>
      <c r="S27" s="51"/>
      <c r="T27" s="52">
        <v>1</v>
      </c>
      <c r="U27" s="174">
        <v>1</v>
      </c>
      <c r="V27" s="174"/>
      <c r="W27" s="174"/>
      <c r="X27" s="174"/>
      <c r="Y27" s="174"/>
      <c r="Z27" s="174"/>
      <c r="AB27" s="7"/>
    </row>
    <row r="28" spans="1:28" s="3" customFormat="1" ht="30" customHeight="1" x14ac:dyDescent="0.3">
      <c r="A28" s="17">
        <v>5</v>
      </c>
      <c r="B28" s="106">
        <v>12278</v>
      </c>
      <c r="C28" s="112" t="s">
        <v>103</v>
      </c>
      <c r="D28" s="32" t="s">
        <v>7</v>
      </c>
      <c r="E28" s="51"/>
      <c r="F28" s="51"/>
      <c r="G28" s="51"/>
      <c r="H28" s="52"/>
      <c r="I28" s="52"/>
      <c r="J28" s="52"/>
      <c r="K28" s="52"/>
      <c r="L28" s="52"/>
      <c r="M28" s="51"/>
      <c r="N28" s="51"/>
      <c r="O28" s="51"/>
      <c r="P28" s="51">
        <v>1</v>
      </c>
      <c r="Q28" s="51"/>
      <c r="R28" s="51"/>
      <c r="S28" s="51"/>
      <c r="T28" s="52">
        <v>1</v>
      </c>
      <c r="U28" s="174">
        <v>1</v>
      </c>
      <c r="V28" s="174"/>
      <c r="W28" s="174"/>
      <c r="X28" s="174"/>
      <c r="Y28" s="174"/>
      <c r="Z28" s="174"/>
      <c r="AB28" s="7"/>
    </row>
    <row r="29" spans="1:28" s="3" customFormat="1" ht="30" customHeight="1" x14ac:dyDescent="0.3">
      <c r="A29" s="17">
        <v>6</v>
      </c>
      <c r="B29" s="106">
        <v>12286</v>
      </c>
      <c r="C29" s="112" t="s">
        <v>178</v>
      </c>
      <c r="D29" s="32" t="s">
        <v>7</v>
      </c>
      <c r="E29" s="51"/>
      <c r="F29" s="51"/>
      <c r="G29" s="51"/>
      <c r="H29" s="52"/>
      <c r="I29" s="52"/>
      <c r="J29" s="52"/>
      <c r="K29" s="52"/>
      <c r="L29" s="52"/>
      <c r="M29" s="51"/>
      <c r="N29" s="51"/>
      <c r="O29" s="51"/>
      <c r="P29" s="51">
        <v>1</v>
      </c>
      <c r="Q29" s="51"/>
      <c r="R29" s="51"/>
      <c r="S29" s="51"/>
      <c r="T29" s="52">
        <v>1</v>
      </c>
      <c r="U29" s="174">
        <v>1</v>
      </c>
      <c r="V29" s="174"/>
      <c r="W29" s="174"/>
      <c r="X29" s="174"/>
      <c r="Y29" s="174"/>
      <c r="Z29" s="174"/>
      <c r="AB29" s="7"/>
    </row>
    <row r="30" spans="1:28" s="3" customFormat="1" ht="30" customHeight="1" x14ac:dyDescent="0.3">
      <c r="A30" s="17">
        <v>7</v>
      </c>
      <c r="B30" s="106">
        <v>12287</v>
      </c>
      <c r="C30" s="31" t="s">
        <v>104</v>
      </c>
      <c r="D30" s="32" t="s">
        <v>7</v>
      </c>
      <c r="E30" s="51"/>
      <c r="F30" s="51"/>
      <c r="G30" s="51"/>
      <c r="H30" s="52"/>
      <c r="I30" s="52"/>
      <c r="J30" s="52"/>
      <c r="K30" s="52"/>
      <c r="L30" s="52"/>
      <c r="M30" s="51"/>
      <c r="N30" s="51"/>
      <c r="O30" s="51"/>
      <c r="P30" s="51">
        <v>1</v>
      </c>
      <c r="Q30" s="51"/>
      <c r="R30" s="51"/>
      <c r="S30" s="51"/>
      <c r="T30" s="52">
        <v>1</v>
      </c>
      <c r="U30" s="174">
        <v>1</v>
      </c>
      <c r="V30" s="174"/>
      <c r="W30" s="174"/>
      <c r="X30" s="174"/>
      <c r="Y30" s="174"/>
      <c r="Z30" s="174"/>
      <c r="AB30" s="7"/>
    </row>
    <row r="31" spans="1:28" s="3" customFormat="1" ht="30" customHeight="1" x14ac:dyDescent="0.3">
      <c r="A31" s="17">
        <v>8</v>
      </c>
      <c r="B31" s="106">
        <v>12291</v>
      </c>
      <c r="C31" s="33" t="s">
        <v>106</v>
      </c>
      <c r="D31" s="34" t="s">
        <v>7</v>
      </c>
      <c r="E31" s="51"/>
      <c r="F31" s="51"/>
      <c r="G31" s="51"/>
      <c r="H31" s="52"/>
      <c r="I31" s="52"/>
      <c r="J31" s="52"/>
      <c r="K31" s="52"/>
      <c r="L31" s="52"/>
      <c r="M31" s="51"/>
      <c r="N31" s="51"/>
      <c r="O31" s="51"/>
      <c r="P31" s="51">
        <v>1</v>
      </c>
      <c r="Q31" s="51"/>
      <c r="R31" s="51"/>
      <c r="S31" s="51"/>
      <c r="T31" s="52">
        <v>1</v>
      </c>
      <c r="U31" s="174">
        <v>1</v>
      </c>
      <c r="V31" s="174"/>
      <c r="W31" s="174"/>
      <c r="X31" s="174"/>
      <c r="Y31" s="174"/>
      <c r="Z31" s="174"/>
      <c r="AB31" s="7"/>
    </row>
    <row r="32" spans="1:28" s="3" customFormat="1" ht="30" customHeight="1" x14ac:dyDescent="0.3">
      <c r="A32" s="17">
        <v>9</v>
      </c>
      <c r="B32" s="106">
        <v>12307</v>
      </c>
      <c r="C32" s="31" t="s">
        <v>108</v>
      </c>
      <c r="D32" s="32" t="s">
        <v>7</v>
      </c>
      <c r="E32" s="51"/>
      <c r="F32" s="51"/>
      <c r="G32" s="51"/>
      <c r="H32" s="52"/>
      <c r="I32" s="52"/>
      <c r="J32" s="52"/>
      <c r="K32" s="52"/>
      <c r="L32" s="52"/>
      <c r="M32" s="51"/>
      <c r="N32" s="51"/>
      <c r="O32" s="51"/>
      <c r="P32" s="51">
        <v>1</v>
      </c>
      <c r="Q32" s="51"/>
      <c r="R32" s="51"/>
      <c r="S32" s="51"/>
      <c r="T32" s="52">
        <v>1</v>
      </c>
      <c r="U32" s="174">
        <v>1</v>
      </c>
      <c r="V32" s="174"/>
      <c r="W32" s="174"/>
      <c r="X32" s="174"/>
      <c r="Y32" s="174"/>
      <c r="Z32" s="174"/>
      <c r="AB32" s="7"/>
    </row>
    <row r="33" spans="1:28" s="3" customFormat="1" ht="30" customHeight="1" x14ac:dyDescent="0.3">
      <c r="A33" s="17">
        <v>10</v>
      </c>
      <c r="B33" s="106">
        <v>12309</v>
      </c>
      <c r="C33" s="31" t="s">
        <v>109</v>
      </c>
      <c r="D33" s="32" t="s">
        <v>7</v>
      </c>
      <c r="E33" s="51"/>
      <c r="F33" s="51"/>
      <c r="G33" s="51"/>
      <c r="H33" s="52"/>
      <c r="I33" s="52"/>
      <c r="J33" s="52"/>
      <c r="K33" s="52"/>
      <c r="L33" s="52"/>
      <c r="M33" s="51"/>
      <c r="N33" s="51"/>
      <c r="O33" s="51"/>
      <c r="P33" s="51">
        <v>1</v>
      </c>
      <c r="Q33" s="51"/>
      <c r="R33" s="51"/>
      <c r="S33" s="51"/>
      <c r="T33" s="52">
        <v>1</v>
      </c>
      <c r="U33" s="174">
        <v>1</v>
      </c>
      <c r="V33" s="174"/>
      <c r="W33" s="174"/>
      <c r="X33" s="174"/>
      <c r="Y33" s="174"/>
      <c r="Z33" s="174"/>
      <c r="AB33" s="7"/>
    </row>
    <row r="34" spans="1:28" s="3" customFormat="1" ht="30" customHeight="1" x14ac:dyDescent="0.3">
      <c r="A34" s="17">
        <v>11</v>
      </c>
      <c r="B34" s="106">
        <v>12318</v>
      </c>
      <c r="C34" s="33" t="s">
        <v>112</v>
      </c>
      <c r="D34" s="34" t="s">
        <v>7</v>
      </c>
      <c r="E34" s="51"/>
      <c r="F34" s="51"/>
      <c r="G34" s="51"/>
      <c r="H34" s="52"/>
      <c r="I34" s="52"/>
      <c r="J34" s="52"/>
      <c r="K34" s="52"/>
      <c r="L34" s="52"/>
      <c r="M34" s="51"/>
      <c r="N34" s="51"/>
      <c r="O34" s="51"/>
      <c r="P34" s="51">
        <v>1</v>
      </c>
      <c r="Q34" s="51"/>
      <c r="R34" s="51"/>
      <c r="S34" s="51"/>
      <c r="T34" s="52">
        <v>1</v>
      </c>
      <c r="U34" s="174">
        <v>1</v>
      </c>
      <c r="V34" s="174"/>
      <c r="W34" s="174"/>
      <c r="X34" s="174"/>
      <c r="Y34" s="174"/>
      <c r="Z34" s="174"/>
      <c r="AB34" s="7"/>
    </row>
    <row r="35" spans="1:28" s="3" customFormat="1" ht="30" customHeight="1" x14ac:dyDescent="0.3">
      <c r="A35" s="17">
        <v>12</v>
      </c>
      <c r="B35" s="106">
        <v>12319</v>
      </c>
      <c r="C35" s="31" t="s">
        <v>113</v>
      </c>
      <c r="D35" s="32" t="s">
        <v>7</v>
      </c>
      <c r="E35" s="51"/>
      <c r="F35" s="51"/>
      <c r="G35" s="51"/>
      <c r="H35" s="52"/>
      <c r="I35" s="52"/>
      <c r="J35" s="52"/>
      <c r="K35" s="52"/>
      <c r="L35" s="52"/>
      <c r="M35" s="51"/>
      <c r="N35" s="51"/>
      <c r="O35" s="51"/>
      <c r="P35" s="51">
        <v>1</v>
      </c>
      <c r="Q35" s="51"/>
      <c r="R35" s="51"/>
      <c r="S35" s="51"/>
      <c r="T35" s="52">
        <v>1</v>
      </c>
      <c r="U35" s="174">
        <v>1</v>
      </c>
      <c r="V35" s="174"/>
      <c r="W35" s="174"/>
      <c r="X35" s="174"/>
      <c r="Y35" s="174"/>
      <c r="Z35" s="174"/>
      <c r="AB35" s="7"/>
    </row>
    <row r="36" spans="1:28" s="3" customFormat="1" ht="30" customHeight="1" x14ac:dyDescent="0.3">
      <c r="A36" s="17">
        <v>13</v>
      </c>
      <c r="B36" s="106">
        <v>12323</v>
      </c>
      <c r="C36" s="31" t="s">
        <v>115</v>
      </c>
      <c r="D36" s="32" t="s">
        <v>8</v>
      </c>
      <c r="E36" s="51"/>
      <c r="F36" s="51"/>
      <c r="G36" s="51"/>
      <c r="H36" s="52"/>
      <c r="I36" s="52"/>
      <c r="J36" s="52"/>
      <c r="K36" s="52"/>
      <c r="L36" s="52"/>
      <c r="M36" s="51"/>
      <c r="N36" s="51"/>
      <c r="O36" s="51"/>
      <c r="P36" s="51">
        <v>1</v>
      </c>
      <c r="Q36" s="51"/>
      <c r="R36" s="51"/>
      <c r="S36" s="51"/>
      <c r="T36" s="52">
        <v>1</v>
      </c>
      <c r="U36" s="174">
        <v>1</v>
      </c>
      <c r="V36" s="174"/>
      <c r="W36" s="174"/>
      <c r="X36" s="174"/>
      <c r="Y36" s="174"/>
      <c r="Z36" s="174"/>
      <c r="AB36" s="7"/>
    </row>
    <row r="37" spans="1:28" s="3" customFormat="1" ht="30" customHeight="1" x14ac:dyDescent="0.3">
      <c r="A37" s="17">
        <v>14</v>
      </c>
      <c r="B37" s="106">
        <v>12325</v>
      </c>
      <c r="C37" s="31" t="s">
        <v>116</v>
      </c>
      <c r="D37" s="32" t="s">
        <v>7</v>
      </c>
      <c r="E37" s="51"/>
      <c r="F37" s="51"/>
      <c r="G37" s="51"/>
      <c r="H37" s="52"/>
      <c r="I37" s="52"/>
      <c r="J37" s="52"/>
      <c r="K37" s="52"/>
      <c r="L37" s="52"/>
      <c r="M37" s="51"/>
      <c r="N37" s="51"/>
      <c r="O37" s="51"/>
      <c r="P37" s="51">
        <v>1</v>
      </c>
      <c r="Q37" s="51"/>
      <c r="R37" s="51"/>
      <c r="S37" s="51"/>
      <c r="T37" s="52">
        <v>1</v>
      </c>
      <c r="U37" s="174">
        <v>1</v>
      </c>
      <c r="V37" s="174"/>
      <c r="W37" s="174"/>
      <c r="X37" s="174"/>
      <c r="Y37" s="174"/>
      <c r="Z37" s="174"/>
      <c r="AB37" s="7"/>
    </row>
    <row r="38" spans="1:28" s="3" customFormat="1" ht="30" customHeight="1" x14ac:dyDescent="0.3">
      <c r="A38" s="17">
        <v>15</v>
      </c>
      <c r="B38" s="106">
        <v>12333</v>
      </c>
      <c r="C38" s="112" t="s">
        <v>182</v>
      </c>
      <c r="D38" s="34" t="s">
        <v>8</v>
      </c>
      <c r="E38" s="51"/>
      <c r="F38" s="51"/>
      <c r="G38" s="51"/>
      <c r="H38" s="52"/>
      <c r="I38" s="52"/>
      <c r="J38" s="52"/>
      <c r="K38" s="52"/>
      <c r="L38" s="52"/>
      <c r="M38" s="51"/>
      <c r="N38" s="51"/>
      <c r="O38" s="51"/>
      <c r="P38" s="51">
        <v>1</v>
      </c>
      <c r="Q38" s="51"/>
      <c r="R38" s="51"/>
      <c r="S38" s="51"/>
      <c r="T38" s="52">
        <v>1</v>
      </c>
      <c r="U38" s="174">
        <v>1</v>
      </c>
      <c r="V38" s="174"/>
      <c r="W38" s="174"/>
      <c r="X38" s="174"/>
      <c r="Y38" s="174"/>
      <c r="Z38" s="174"/>
      <c r="AB38" s="7"/>
    </row>
    <row r="39" spans="1:28" s="3" customFormat="1" ht="30" customHeight="1" x14ac:dyDescent="0.3">
      <c r="A39" s="17">
        <v>16</v>
      </c>
      <c r="B39" s="106">
        <v>12341</v>
      </c>
      <c r="C39" s="112" t="s">
        <v>119</v>
      </c>
      <c r="D39" s="34" t="s">
        <v>8</v>
      </c>
      <c r="E39" s="51"/>
      <c r="F39" s="51"/>
      <c r="G39" s="51"/>
      <c r="H39" s="52"/>
      <c r="I39" s="52"/>
      <c r="J39" s="52"/>
      <c r="K39" s="52"/>
      <c r="L39" s="52"/>
      <c r="M39" s="51"/>
      <c r="N39" s="51"/>
      <c r="O39" s="51"/>
      <c r="P39" s="51">
        <v>1</v>
      </c>
      <c r="Q39" s="51"/>
      <c r="R39" s="51"/>
      <c r="S39" s="51"/>
      <c r="T39" s="52">
        <v>1</v>
      </c>
      <c r="U39" s="174">
        <v>1</v>
      </c>
      <c r="V39" s="174"/>
      <c r="W39" s="174"/>
      <c r="X39" s="174"/>
      <c r="Y39" s="174"/>
      <c r="Z39" s="174"/>
      <c r="AB39" s="7"/>
    </row>
    <row r="40" spans="1:28" s="3" customFormat="1" ht="30" customHeight="1" x14ac:dyDescent="0.3">
      <c r="A40" s="17">
        <v>17</v>
      </c>
      <c r="B40" s="106">
        <v>12343</v>
      </c>
      <c r="C40" s="33" t="s">
        <v>183</v>
      </c>
      <c r="D40" s="32" t="s">
        <v>7</v>
      </c>
      <c r="E40" s="51"/>
      <c r="F40" s="51"/>
      <c r="G40" s="51"/>
      <c r="H40" s="52"/>
      <c r="I40" s="52"/>
      <c r="J40" s="52"/>
      <c r="K40" s="52"/>
      <c r="L40" s="52"/>
      <c r="M40" s="51"/>
      <c r="N40" s="51"/>
      <c r="O40" s="51"/>
      <c r="P40" s="51">
        <v>1</v>
      </c>
      <c r="Q40" s="51"/>
      <c r="R40" s="51"/>
      <c r="S40" s="51"/>
      <c r="T40" s="52">
        <v>1</v>
      </c>
      <c r="U40" s="174">
        <v>1</v>
      </c>
      <c r="V40" s="174"/>
      <c r="W40" s="174"/>
      <c r="X40" s="174"/>
      <c r="Y40" s="174"/>
      <c r="Z40" s="174"/>
      <c r="AB40" s="7"/>
    </row>
    <row r="41" spans="1:28" s="3" customFormat="1" ht="30" customHeight="1" x14ac:dyDescent="0.3">
      <c r="A41" s="17">
        <v>18</v>
      </c>
      <c r="B41" s="106">
        <v>12345</v>
      </c>
      <c r="C41" s="33" t="s">
        <v>184</v>
      </c>
      <c r="D41" s="34" t="s">
        <v>7</v>
      </c>
      <c r="E41" s="51"/>
      <c r="F41" s="51"/>
      <c r="G41" s="51"/>
      <c r="H41" s="52"/>
      <c r="I41" s="52"/>
      <c r="J41" s="52"/>
      <c r="K41" s="52"/>
      <c r="L41" s="52"/>
      <c r="M41" s="51"/>
      <c r="N41" s="51"/>
      <c r="O41" s="51"/>
      <c r="P41" s="51">
        <v>1</v>
      </c>
      <c r="Q41" s="51"/>
      <c r="R41" s="51"/>
      <c r="S41" s="51"/>
      <c r="T41" s="52">
        <v>1</v>
      </c>
      <c r="U41" s="174">
        <v>1</v>
      </c>
      <c r="V41" s="174"/>
      <c r="W41" s="174"/>
      <c r="X41" s="174"/>
      <c r="Y41" s="174"/>
      <c r="Z41" s="174"/>
      <c r="AB41" s="7"/>
    </row>
    <row r="42" spans="1:28" s="3" customFormat="1" ht="30" customHeight="1" x14ac:dyDescent="0.3">
      <c r="A42" s="17">
        <v>19</v>
      </c>
      <c r="B42" s="106">
        <v>12347</v>
      </c>
      <c r="C42" s="31" t="s">
        <v>186</v>
      </c>
      <c r="D42" s="34" t="s">
        <v>7</v>
      </c>
      <c r="E42" s="51"/>
      <c r="F42" s="51"/>
      <c r="G42" s="51"/>
      <c r="H42" s="52"/>
      <c r="I42" s="52"/>
      <c r="J42" s="52"/>
      <c r="K42" s="52"/>
      <c r="L42" s="52"/>
      <c r="M42" s="51"/>
      <c r="N42" s="51"/>
      <c r="O42" s="51"/>
      <c r="P42" s="51">
        <v>1</v>
      </c>
      <c r="Q42" s="51"/>
      <c r="R42" s="51"/>
      <c r="S42" s="51"/>
      <c r="T42" s="52">
        <v>1</v>
      </c>
      <c r="U42" s="174">
        <v>1</v>
      </c>
      <c r="V42" s="174"/>
      <c r="W42" s="174"/>
      <c r="X42" s="174"/>
      <c r="Y42" s="174"/>
      <c r="Z42" s="174"/>
      <c r="AB42" s="7"/>
    </row>
    <row r="43" spans="1:28" s="3" customFormat="1" ht="30" customHeight="1" x14ac:dyDescent="0.3">
      <c r="A43" s="17">
        <v>20</v>
      </c>
      <c r="B43" s="106">
        <v>12349</v>
      </c>
      <c r="C43" s="33" t="s">
        <v>187</v>
      </c>
      <c r="D43" s="32" t="s">
        <v>7</v>
      </c>
      <c r="E43" s="51"/>
      <c r="F43" s="51"/>
      <c r="G43" s="51"/>
      <c r="H43" s="52"/>
      <c r="I43" s="52"/>
      <c r="J43" s="52"/>
      <c r="K43" s="52"/>
      <c r="L43" s="52"/>
      <c r="M43" s="51"/>
      <c r="N43" s="51"/>
      <c r="O43" s="51"/>
      <c r="P43" s="51">
        <v>1</v>
      </c>
      <c r="Q43" s="51"/>
      <c r="R43" s="51"/>
      <c r="S43" s="51"/>
      <c r="T43" s="52">
        <v>1</v>
      </c>
      <c r="U43" s="174">
        <v>1</v>
      </c>
      <c r="V43" s="174"/>
      <c r="W43" s="174"/>
      <c r="X43" s="174"/>
      <c r="Y43" s="174"/>
      <c r="Z43" s="174"/>
      <c r="AB43" s="7"/>
    </row>
    <row r="44" spans="1:28" s="4" customFormat="1" ht="30" customHeight="1" x14ac:dyDescent="0.3">
      <c r="A44" s="17">
        <v>21</v>
      </c>
      <c r="B44" s="106">
        <v>12358</v>
      </c>
      <c r="C44" s="31" t="s">
        <v>120</v>
      </c>
      <c r="D44" s="34" t="s">
        <v>7</v>
      </c>
      <c r="E44" s="51"/>
      <c r="F44" s="51"/>
      <c r="G44" s="51"/>
      <c r="H44" s="52"/>
      <c r="I44" s="52"/>
      <c r="J44" s="52"/>
      <c r="K44" s="52"/>
      <c r="L44" s="52"/>
      <c r="M44" s="51"/>
      <c r="N44" s="51"/>
      <c r="O44" s="51"/>
      <c r="P44" s="51"/>
      <c r="Q44" s="51"/>
      <c r="R44" s="51"/>
      <c r="S44" s="51"/>
      <c r="T44" s="52"/>
      <c r="U44" s="71"/>
      <c r="V44" s="72"/>
      <c r="W44" s="72"/>
      <c r="X44" s="72"/>
      <c r="Y44" s="72"/>
      <c r="Z44" s="73"/>
      <c r="AB44" s="7"/>
    </row>
    <row r="45" spans="1:28" s="4" customFormat="1" ht="30" customHeight="1" x14ac:dyDescent="0.3">
      <c r="A45" s="17">
        <v>22</v>
      </c>
      <c r="B45" s="106">
        <v>12395</v>
      </c>
      <c r="C45" s="31" t="s">
        <v>121</v>
      </c>
      <c r="D45" s="32" t="s">
        <v>8</v>
      </c>
      <c r="E45" s="51"/>
      <c r="F45" s="51"/>
      <c r="G45" s="51"/>
      <c r="H45" s="52"/>
      <c r="I45" s="52"/>
      <c r="J45" s="52"/>
      <c r="K45" s="52"/>
      <c r="L45" s="52"/>
      <c r="M45" s="51"/>
      <c r="N45" s="51"/>
      <c r="O45" s="51"/>
      <c r="P45" s="51"/>
      <c r="Q45" s="51"/>
      <c r="R45" s="51"/>
      <c r="S45" s="51"/>
      <c r="T45" s="52"/>
      <c r="U45" s="71"/>
      <c r="V45" s="72"/>
      <c r="W45" s="72"/>
      <c r="X45" s="72"/>
      <c r="Y45" s="72"/>
      <c r="Z45" s="73"/>
      <c r="AB45" s="7"/>
    </row>
    <row r="46" spans="1:28" s="4" customFormat="1" ht="30" customHeight="1" x14ac:dyDescent="0.3">
      <c r="A46" s="17">
        <v>23</v>
      </c>
      <c r="B46" s="106">
        <v>12400</v>
      </c>
      <c r="C46" s="31" t="s">
        <v>122</v>
      </c>
      <c r="D46" s="32" t="s">
        <v>7</v>
      </c>
      <c r="E46" s="51"/>
      <c r="F46" s="51"/>
      <c r="G46" s="51"/>
      <c r="H46" s="52"/>
      <c r="I46" s="52"/>
      <c r="J46" s="52"/>
      <c r="K46" s="52"/>
      <c r="L46" s="52"/>
      <c r="M46" s="51"/>
      <c r="N46" s="51"/>
      <c r="O46" s="51"/>
      <c r="P46" s="51"/>
      <c r="Q46" s="51"/>
      <c r="R46" s="51"/>
      <c r="S46" s="51"/>
      <c r="T46" s="52"/>
      <c r="U46" s="71"/>
      <c r="V46" s="72"/>
      <c r="W46" s="72"/>
      <c r="X46" s="72"/>
      <c r="Y46" s="72"/>
      <c r="Z46" s="73"/>
      <c r="AB46" s="7"/>
    </row>
    <row r="47" spans="1:28" s="4" customFormat="1" ht="30" customHeight="1" x14ac:dyDescent="0.3">
      <c r="A47" s="17">
        <v>24</v>
      </c>
      <c r="B47" s="106">
        <v>12401</v>
      </c>
      <c r="C47" s="112" t="s">
        <v>192</v>
      </c>
      <c r="D47" s="32" t="s">
        <v>7</v>
      </c>
      <c r="E47" s="51"/>
      <c r="F47" s="51"/>
      <c r="G47" s="51"/>
      <c r="H47" s="52"/>
      <c r="I47" s="52"/>
      <c r="J47" s="52"/>
      <c r="K47" s="52"/>
      <c r="L47" s="52"/>
      <c r="M47" s="51"/>
      <c r="N47" s="51"/>
      <c r="O47" s="51"/>
      <c r="P47" s="51"/>
      <c r="Q47" s="51"/>
      <c r="R47" s="51"/>
      <c r="S47" s="51"/>
      <c r="T47" s="52"/>
      <c r="U47" s="71"/>
      <c r="V47" s="72"/>
      <c r="W47" s="72"/>
      <c r="X47" s="72"/>
      <c r="Y47" s="72"/>
      <c r="Z47" s="73"/>
      <c r="AB47" s="7"/>
    </row>
    <row r="48" spans="1:28" s="4" customFormat="1" ht="30" customHeight="1" x14ac:dyDescent="0.3">
      <c r="A48" s="17">
        <v>25</v>
      </c>
      <c r="B48" s="106">
        <v>12403</v>
      </c>
      <c r="C48" s="33" t="s">
        <v>123</v>
      </c>
      <c r="D48" s="32" t="s">
        <v>8</v>
      </c>
      <c r="E48" s="51"/>
      <c r="F48" s="51"/>
      <c r="G48" s="51"/>
      <c r="H48" s="52"/>
      <c r="I48" s="52"/>
      <c r="J48" s="52"/>
      <c r="K48" s="52"/>
      <c r="L48" s="52"/>
      <c r="M48" s="51"/>
      <c r="N48" s="51"/>
      <c r="O48" s="51"/>
      <c r="P48" s="51"/>
      <c r="Q48" s="51"/>
      <c r="R48" s="51"/>
      <c r="S48" s="51"/>
      <c r="T48" s="52"/>
      <c r="U48" s="71"/>
      <c r="V48" s="72"/>
      <c r="W48" s="72"/>
      <c r="X48" s="72"/>
      <c r="Y48" s="72"/>
      <c r="Z48" s="73"/>
      <c r="AB48" s="7"/>
    </row>
    <row r="49" spans="1:28" s="4" customFormat="1" ht="30" customHeight="1" x14ac:dyDescent="0.3">
      <c r="A49" s="17">
        <v>26</v>
      </c>
      <c r="B49" s="106">
        <v>12435</v>
      </c>
      <c r="C49" s="31" t="s">
        <v>196</v>
      </c>
      <c r="D49" s="34" t="s">
        <v>7</v>
      </c>
      <c r="E49" s="51"/>
      <c r="F49" s="51"/>
      <c r="G49" s="51"/>
      <c r="H49" s="52"/>
      <c r="I49" s="52"/>
      <c r="J49" s="52"/>
      <c r="K49" s="52"/>
      <c r="L49" s="52"/>
      <c r="M49" s="51"/>
      <c r="N49" s="51"/>
      <c r="O49" s="51"/>
      <c r="P49" s="51"/>
      <c r="Q49" s="51"/>
      <c r="R49" s="51"/>
      <c r="S49" s="51"/>
      <c r="T49" s="52"/>
      <c r="U49" s="71"/>
      <c r="V49" s="72"/>
      <c r="W49" s="72"/>
      <c r="X49" s="72"/>
      <c r="Y49" s="72"/>
      <c r="Z49" s="73"/>
      <c r="AB49" s="7"/>
    </row>
    <row r="50" spans="1:28" s="4" customFormat="1" ht="30" customHeight="1" x14ac:dyDescent="0.3">
      <c r="A50" s="17">
        <v>27</v>
      </c>
      <c r="B50" s="106">
        <v>12439</v>
      </c>
      <c r="C50" s="112" t="s">
        <v>124</v>
      </c>
      <c r="D50" s="32" t="s">
        <v>8</v>
      </c>
      <c r="E50" s="51"/>
      <c r="F50" s="51"/>
      <c r="G50" s="51"/>
      <c r="H50" s="52"/>
      <c r="I50" s="52"/>
      <c r="J50" s="52"/>
      <c r="K50" s="52"/>
      <c r="L50" s="52"/>
      <c r="M50" s="51"/>
      <c r="N50" s="51"/>
      <c r="O50" s="51"/>
      <c r="P50" s="51"/>
      <c r="Q50" s="51"/>
      <c r="R50" s="51"/>
      <c r="S50" s="51"/>
      <c r="T50" s="52"/>
      <c r="U50" s="71"/>
      <c r="V50" s="72"/>
      <c r="W50" s="72"/>
      <c r="X50" s="72"/>
      <c r="Y50" s="72"/>
      <c r="Z50" s="73"/>
      <c r="AB50" s="7"/>
    </row>
    <row r="51" spans="1:28" s="4" customFormat="1" ht="30" customHeight="1" x14ac:dyDescent="0.3">
      <c r="A51" s="17">
        <v>28</v>
      </c>
      <c r="B51" s="106">
        <v>12441</v>
      </c>
      <c r="C51" s="31" t="s">
        <v>125</v>
      </c>
      <c r="D51" s="32" t="s">
        <v>7</v>
      </c>
      <c r="E51" s="51"/>
      <c r="F51" s="51"/>
      <c r="G51" s="51"/>
      <c r="H51" s="52"/>
      <c r="I51" s="52"/>
      <c r="J51" s="52"/>
      <c r="K51" s="52"/>
      <c r="L51" s="52"/>
      <c r="M51" s="51"/>
      <c r="N51" s="51"/>
      <c r="O51" s="51"/>
      <c r="P51" s="51"/>
      <c r="Q51" s="51"/>
      <c r="R51" s="51"/>
      <c r="S51" s="51"/>
      <c r="T51" s="52"/>
      <c r="U51" s="71"/>
      <c r="V51" s="72"/>
      <c r="W51" s="72"/>
      <c r="X51" s="72"/>
      <c r="Y51" s="72"/>
      <c r="Z51" s="73"/>
      <c r="AB51" s="7"/>
    </row>
    <row r="52" spans="1:28" s="4" customFormat="1" ht="30" customHeight="1" x14ac:dyDescent="0.3">
      <c r="A52" s="17">
        <v>29</v>
      </c>
      <c r="B52" s="106">
        <v>12445</v>
      </c>
      <c r="C52" s="31" t="s">
        <v>127</v>
      </c>
      <c r="D52" s="32" t="s">
        <v>7</v>
      </c>
      <c r="E52" s="51"/>
      <c r="F52" s="51"/>
      <c r="G52" s="51"/>
      <c r="H52" s="52"/>
      <c r="I52" s="52"/>
      <c r="J52" s="52"/>
      <c r="K52" s="52"/>
      <c r="L52" s="52"/>
      <c r="M52" s="51"/>
      <c r="N52" s="51"/>
      <c r="O52" s="51"/>
      <c r="P52" s="51"/>
      <c r="Q52" s="51"/>
      <c r="R52" s="51"/>
      <c r="S52" s="51"/>
      <c r="T52" s="52"/>
      <c r="U52" s="71"/>
      <c r="V52" s="72"/>
      <c r="W52" s="72"/>
      <c r="X52" s="72"/>
      <c r="Y52" s="72"/>
      <c r="Z52" s="73"/>
      <c r="AB52" s="7"/>
    </row>
    <row r="53" spans="1:28" s="4" customFormat="1" ht="30" customHeight="1" x14ac:dyDescent="0.3">
      <c r="A53" s="17">
        <v>30</v>
      </c>
      <c r="B53" s="106">
        <v>12450</v>
      </c>
      <c r="C53" s="31" t="s">
        <v>128</v>
      </c>
      <c r="D53" s="32" t="s">
        <v>8</v>
      </c>
      <c r="E53" s="51"/>
      <c r="F53" s="51"/>
      <c r="G53" s="51"/>
      <c r="H53" s="52"/>
      <c r="I53" s="52"/>
      <c r="J53" s="52"/>
      <c r="K53" s="52"/>
      <c r="L53" s="52"/>
      <c r="M53" s="51"/>
      <c r="N53" s="51"/>
      <c r="O53" s="51"/>
      <c r="P53" s="51"/>
      <c r="Q53" s="51"/>
      <c r="R53" s="51"/>
      <c r="S53" s="51"/>
      <c r="T53" s="52"/>
      <c r="U53" s="71"/>
      <c r="V53" s="72"/>
      <c r="W53" s="72"/>
      <c r="X53" s="72"/>
      <c r="Y53" s="72"/>
      <c r="Z53" s="73"/>
      <c r="AB53" s="7"/>
    </row>
    <row r="54" spans="1:28" s="3" customFormat="1" ht="30" customHeight="1" x14ac:dyDescent="0.3">
      <c r="A54" s="17">
        <v>31</v>
      </c>
      <c r="B54" s="106">
        <v>12454</v>
      </c>
      <c r="C54" s="31" t="s">
        <v>199</v>
      </c>
      <c r="D54" s="32" t="s">
        <v>7</v>
      </c>
      <c r="E54" s="51"/>
      <c r="F54" s="51"/>
      <c r="G54" s="51"/>
      <c r="H54" s="52"/>
      <c r="I54" s="52"/>
      <c r="J54" s="52"/>
      <c r="K54" s="52"/>
      <c r="L54" s="52"/>
      <c r="M54" s="51"/>
      <c r="N54" s="51"/>
      <c r="O54" s="51"/>
      <c r="P54" s="51">
        <v>1</v>
      </c>
      <c r="Q54" s="51"/>
      <c r="R54" s="51"/>
      <c r="S54" s="51"/>
      <c r="T54" s="52">
        <v>1</v>
      </c>
      <c r="U54" s="71"/>
      <c r="V54" s="72"/>
      <c r="W54" s="72"/>
      <c r="X54" s="72"/>
      <c r="Y54" s="72"/>
      <c r="Z54" s="73"/>
      <c r="AB54" s="7"/>
    </row>
    <row r="55" spans="1:28" s="3" customFormat="1" ht="30" customHeight="1" x14ac:dyDescent="0.3">
      <c r="A55" s="17">
        <v>32</v>
      </c>
      <c r="B55" s="106">
        <v>12455</v>
      </c>
      <c r="C55" s="31" t="s">
        <v>129</v>
      </c>
      <c r="D55" s="32" t="s">
        <v>8</v>
      </c>
      <c r="E55" s="51"/>
      <c r="F55" s="51"/>
      <c r="G55" s="51"/>
      <c r="H55" s="52"/>
      <c r="I55" s="52"/>
      <c r="J55" s="52"/>
      <c r="K55" s="52"/>
      <c r="L55" s="52"/>
      <c r="M55" s="51"/>
      <c r="N55" s="51"/>
      <c r="O55" s="51"/>
      <c r="P55" s="52"/>
      <c r="Q55" s="52"/>
      <c r="R55" s="52"/>
      <c r="S55" s="52"/>
      <c r="T55" s="52"/>
      <c r="U55" s="174">
        <v>1</v>
      </c>
      <c r="V55" s="174"/>
      <c r="W55" s="174"/>
      <c r="X55" s="174"/>
      <c r="Y55" s="174"/>
      <c r="Z55" s="174"/>
      <c r="AB55" s="7"/>
    </row>
    <row r="56" spans="1:28" s="3" customFormat="1" ht="30" customHeight="1" x14ac:dyDescent="0.3">
      <c r="A56" s="17">
        <v>33</v>
      </c>
      <c r="B56" s="106">
        <v>12462</v>
      </c>
      <c r="C56" s="33" t="s">
        <v>130</v>
      </c>
      <c r="D56" s="32" t="s">
        <v>8</v>
      </c>
      <c r="E56" s="51"/>
      <c r="F56" s="51"/>
      <c r="G56" s="51"/>
      <c r="H56" s="52"/>
      <c r="I56" s="52"/>
      <c r="J56" s="52"/>
      <c r="K56" s="52"/>
      <c r="L56" s="52"/>
      <c r="M56" s="51"/>
      <c r="N56" s="51"/>
      <c r="O56" s="51"/>
      <c r="P56" s="52"/>
      <c r="Q56" s="52"/>
      <c r="R56" s="52"/>
      <c r="S56" s="52"/>
      <c r="T56" s="52"/>
      <c r="U56" s="175"/>
      <c r="V56" s="176"/>
      <c r="W56" s="176"/>
      <c r="X56" s="176"/>
      <c r="Y56" s="176"/>
      <c r="Z56" s="177"/>
      <c r="AB56" s="7"/>
    </row>
    <row r="57" spans="1:28" s="3" customFormat="1" ht="30" customHeight="1" x14ac:dyDescent="0.3">
      <c r="A57" s="17">
        <v>34</v>
      </c>
      <c r="B57" s="106">
        <v>12466</v>
      </c>
      <c r="C57" s="31" t="s">
        <v>131</v>
      </c>
      <c r="D57" s="34" t="s">
        <v>8</v>
      </c>
      <c r="E57" s="51"/>
      <c r="F57" s="51"/>
      <c r="G57" s="51"/>
      <c r="H57" s="52"/>
      <c r="I57" s="52"/>
      <c r="J57" s="52"/>
      <c r="K57" s="52"/>
      <c r="L57" s="52"/>
      <c r="M57" s="51"/>
      <c r="N57" s="51"/>
      <c r="O57" s="51"/>
      <c r="P57" s="52"/>
      <c r="Q57" s="52"/>
      <c r="R57" s="52"/>
      <c r="S57" s="52"/>
      <c r="T57" s="52"/>
      <c r="U57" s="175"/>
      <c r="V57" s="176"/>
      <c r="W57" s="176"/>
      <c r="X57" s="176"/>
      <c r="Y57" s="176"/>
      <c r="Z57" s="177"/>
      <c r="AB57" s="7"/>
    </row>
    <row r="58" spans="1:28" s="6" customFormat="1" ht="30" customHeight="1" x14ac:dyDescent="0.2">
      <c r="A58" s="54"/>
      <c r="B58" s="55"/>
      <c r="C58" s="44" t="s">
        <v>9</v>
      </c>
      <c r="D58" s="36">
        <f>COUNTIF(D24:D57,"L")</f>
        <v>22</v>
      </c>
      <c r="E58" s="56"/>
      <c r="F58" s="57"/>
      <c r="G58" s="57"/>
      <c r="H58" s="57"/>
      <c r="I58" s="57"/>
      <c r="J58" s="58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8" s="6" customFormat="1" ht="30" customHeight="1" x14ac:dyDescent="0.2">
      <c r="A59" s="54"/>
      <c r="B59" s="54"/>
      <c r="C59" s="45" t="s">
        <v>10</v>
      </c>
      <c r="D59" s="37">
        <f>COUNTIF(D24:D57,"P")</f>
        <v>12</v>
      </c>
      <c r="E59" s="59"/>
      <c r="F59" s="58"/>
      <c r="G59" s="58"/>
      <c r="H59" s="58"/>
      <c r="I59" s="58"/>
      <c r="J59" s="58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8" ht="30" customHeight="1" x14ac:dyDescent="0.2">
      <c r="A60" s="58"/>
      <c r="B60" s="58"/>
      <c r="C60" s="74" t="s">
        <v>11</v>
      </c>
      <c r="D60" s="75">
        <f>SUM(D58:D59)</f>
        <v>34</v>
      </c>
      <c r="E60" s="59"/>
      <c r="F60" s="58"/>
      <c r="G60" s="58"/>
      <c r="H60" s="58"/>
      <c r="I60" s="58"/>
      <c r="J60" s="58"/>
      <c r="K60" s="58"/>
      <c r="L60" s="58"/>
      <c r="M60" s="58"/>
      <c r="N60" s="76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8" ht="17.100000000000001" customHeight="1" x14ac:dyDescent="0.2">
      <c r="A61" s="58"/>
      <c r="B61" s="58"/>
      <c r="C61" s="159"/>
      <c r="D61" s="159"/>
      <c r="E61" s="61"/>
      <c r="F61" s="58"/>
      <c r="G61" s="58"/>
      <c r="H61" s="58"/>
      <c r="I61" s="58"/>
      <c r="J61" s="58"/>
      <c r="K61" s="58"/>
      <c r="L61" s="58"/>
      <c r="M61" s="58"/>
      <c r="N61" s="76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8" ht="17.100000000000001" customHeight="1" x14ac:dyDescent="0.2">
      <c r="A62" s="58"/>
      <c r="B62" s="58"/>
      <c r="E62" s="61"/>
      <c r="F62" s="58"/>
      <c r="G62" s="58"/>
      <c r="H62" s="58"/>
      <c r="I62" s="58"/>
      <c r="J62" s="58"/>
      <c r="K62" s="58"/>
      <c r="L62" s="58"/>
      <c r="M62" s="58"/>
      <c r="N62" s="76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8" ht="17.100000000000001" customHeight="1" x14ac:dyDescent="0.2">
      <c r="A63" s="58"/>
      <c r="B63" s="58"/>
      <c r="E63" s="61"/>
      <c r="F63" s="58"/>
      <c r="G63" s="58"/>
      <c r="H63" s="58"/>
      <c r="I63" s="58"/>
      <c r="J63" s="58"/>
      <c r="K63" s="58"/>
      <c r="L63" s="58"/>
      <c r="M63" s="58"/>
      <c r="N63" s="76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8" ht="15.75" x14ac:dyDescent="0.25">
      <c r="A64" s="2"/>
      <c r="B64" s="2"/>
      <c r="C64" s="8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x14ac:dyDescent="0.25">
      <c r="A65" s="2"/>
      <c r="B65" s="2"/>
      <c r="C65" s="8"/>
      <c r="D65" s="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x14ac:dyDescent="0.25">
      <c r="A66" s="2"/>
      <c r="B66" s="2"/>
      <c r="C66" s="8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8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x14ac:dyDescent="0.25">
      <c r="A68" s="2"/>
      <c r="B68" s="2"/>
      <c r="C68" s="8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8"/>
      <c r="D69" s="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">
      <c r="C70" s="5"/>
      <c r="D70" s="5"/>
    </row>
    <row r="71" spans="1:26" ht="12.75" customHeight="1" x14ac:dyDescent="0.3">
      <c r="C71" s="5"/>
      <c r="D71" s="5"/>
    </row>
  </sheetData>
  <sheetProtection selectLockedCells="1" selectUnlockedCells="1"/>
  <mergeCells count="35">
    <mergeCell ref="C61:D61"/>
    <mergeCell ref="U40:Z40"/>
    <mergeCell ref="U41:Z41"/>
    <mergeCell ref="U42:Z42"/>
    <mergeCell ref="U43:Z43"/>
    <mergeCell ref="U55:Z55"/>
    <mergeCell ref="U56:Z56"/>
    <mergeCell ref="U57:Z57"/>
    <mergeCell ref="U39:Z39"/>
    <mergeCell ref="U35:Z35"/>
    <mergeCell ref="U38:Z38"/>
    <mergeCell ref="U24:Z24"/>
    <mergeCell ref="U25:Z25"/>
    <mergeCell ref="U26:Z26"/>
    <mergeCell ref="U27:Z27"/>
    <mergeCell ref="U28:Z28"/>
    <mergeCell ref="U36:Z36"/>
    <mergeCell ref="U37:Z37"/>
    <mergeCell ref="U29:Z29"/>
    <mergeCell ref="U30:Z30"/>
    <mergeCell ref="U31:Z31"/>
    <mergeCell ref="U32:Z32"/>
    <mergeCell ref="U33:Z33"/>
    <mergeCell ref="U34:Z34"/>
    <mergeCell ref="E20:T20"/>
    <mergeCell ref="E21:T22"/>
    <mergeCell ref="U20:Z23"/>
    <mergeCell ref="A14:Z14"/>
    <mergeCell ref="A15:Z15"/>
    <mergeCell ref="A20:A23"/>
    <mergeCell ref="B20:B23"/>
    <mergeCell ref="C20:C23"/>
    <mergeCell ref="D20:D23"/>
    <mergeCell ref="M17:P17"/>
    <mergeCell ref="M18:P18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view="pageBreakPreview" topLeftCell="A37" zoomScale="85" zoomScaleNormal="75" zoomScaleSheetLayoutView="85" workbookViewId="0">
      <selection activeCell="P49" sqref="P49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7.100000000000001" customHeight="1" x14ac:dyDescent="0.2"/>
    <row r="14" spans="1:26" ht="18.95" customHeight="1" x14ac:dyDescent="0.2">
      <c r="A14" s="147" t="s">
        <v>13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1.6" customHeight="1" x14ac:dyDescent="0.2">
      <c r="A15" s="180" t="s">
        <v>29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</row>
    <row r="16" spans="1:26" ht="12.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100000000000001" customHeight="1" x14ac:dyDescent="0.2">
      <c r="A17" s="41"/>
      <c r="B17" s="41"/>
      <c r="C17" s="41"/>
      <c r="D17" s="41"/>
      <c r="E17" s="111"/>
      <c r="F17" s="111"/>
      <c r="G17" s="111"/>
      <c r="H17" s="50"/>
      <c r="I17" s="50"/>
      <c r="J17" s="41"/>
      <c r="K17" s="41"/>
      <c r="L17" s="50"/>
      <c r="M17" s="158" t="s">
        <v>0</v>
      </c>
      <c r="N17" s="158"/>
      <c r="O17" s="158"/>
      <c r="P17" s="158"/>
      <c r="Q17" s="42" t="s">
        <v>24</v>
      </c>
      <c r="R17" s="42"/>
      <c r="S17" s="50"/>
      <c r="T17" s="50"/>
      <c r="U17" s="65"/>
      <c r="V17" s="65"/>
      <c r="W17" s="65"/>
      <c r="X17" s="65"/>
      <c r="Y17" s="65"/>
      <c r="Z17" s="50"/>
    </row>
    <row r="18" spans="1:26" ht="17.100000000000001" customHeight="1" x14ac:dyDescent="0.2">
      <c r="A18" s="66" t="s">
        <v>19</v>
      </c>
      <c r="B18" s="41"/>
      <c r="C18" s="41"/>
      <c r="D18" s="41"/>
      <c r="E18" s="111"/>
      <c r="F18" s="111"/>
      <c r="G18" s="111"/>
      <c r="H18" s="50"/>
      <c r="I18" s="50"/>
      <c r="J18" s="41"/>
      <c r="K18" s="41"/>
      <c r="L18" s="50"/>
      <c r="M18" s="158" t="s">
        <v>1</v>
      </c>
      <c r="N18" s="158"/>
      <c r="O18" s="158"/>
      <c r="P18" s="158"/>
      <c r="Q18" s="42" t="s">
        <v>315</v>
      </c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2.6" customHeight="1" x14ac:dyDescent="0.2">
      <c r="M19" s="2"/>
    </row>
    <row r="20" spans="1:26" ht="20.100000000000001" customHeight="1" x14ac:dyDescent="0.2">
      <c r="A20" s="151" t="s">
        <v>2</v>
      </c>
      <c r="B20" s="151" t="s">
        <v>3</v>
      </c>
      <c r="C20" s="151" t="s">
        <v>4</v>
      </c>
      <c r="D20" s="151" t="s">
        <v>5</v>
      </c>
      <c r="E20" s="156" t="s">
        <v>6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46" t="s">
        <v>14</v>
      </c>
      <c r="V20" s="146"/>
      <c r="W20" s="146"/>
      <c r="X20" s="146"/>
      <c r="Y20" s="146"/>
      <c r="Z20" s="146"/>
    </row>
    <row r="21" spans="1:26" ht="12.6" customHeight="1" x14ac:dyDescent="0.2">
      <c r="A21" s="151"/>
      <c r="B21" s="151"/>
      <c r="C21" s="151"/>
      <c r="D21" s="151"/>
      <c r="E21" s="152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46"/>
      <c r="V21" s="146"/>
      <c r="W21" s="146"/>
      <c r="X21" s="146"/>
      <c r="Y21" s="146"/>
      <c r="Z21" s="146"/>
    </row>
    <row r="22" spans="1:26" ht="12.6" customHeight="1" x14ac:dyDescent="0.2">
      <c r="A22" s="151"/>
      <c r="B22" s="151"/>
      <c r="C22" s="151"/>
      <c r="D22" s="151"/>
      <c r="E22" s="167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46"/>
      <c r="V22" s="146"/>
      <c r="W22" s="146"/>
      <c r="X22" s="146"/>
      <c r="Y22" s="146"/>
      <c r="Z22" s="146"/>
    </row>
    <row r="23" spans="1:26" ht="20.100000000000001" customHeight="1" x14ac:dyDescent="0.2">
      <c r="A23" s="151"/>
      <c r="B23" s="151"/>
      <c r="C23" s="151"/>
      <c r="D23" s="151"/>
      <c r="E23" s="67">
        <v>1</v>
      </c>
      <c r="F23" s="40">
        <v>2</v>
      </c>
      <c r="G23" s="40">
        <v>3</v>
      </c>
      <c r="H23" s="40">
        <v>4</v>
      </c>
      <c r="I23" s="40">
        <v>5</v>
      </c>
      <c r="J23" s="40">
        <v>6</v>
      </c>
      <c r="K23" s="40">
        <v>7</v>
      </c>
      <c r="L23" s="40">
        <v>8</v>
      </c>
      <c r="M23" s="40">
        <v>9</v>
      </c>
      <c r="N23" s="40">
        <v>10</v>
      </c>
      <c r="O23" s="40">
        <v>11</v>
      </c>
      <c r="P23" s="40">
        <v>12</v>
      </c>
      <c r="Q23" s="40">
        <v>13</v>
      </c>
      <c r="R23" s="40">
        <v>14</v>
      </c>
      <c r="S23" s="40">
        <v>15</v>
      </c>
      <c r="T23" s="49">
        <v>16</v>
      </c>
      <c r="U23" s="146"/>
      <c r="V23" s="146"/>
      <c r="W23" s="146"/>
      <c r="X23" s="146"/>
      <c r="Y23" s="146"/>
      <c r="Z23" s="146"/>
    </row>
    <row r="24" spans="1:26" s="58" customFormat="1" ht="30" customHeight="1" x14ac:dyDescent="0.2">
      <c r="A24" s="17">
        <v>1</v>
      </c>
      <c r="B24" s="106">
        <v>12207</v>
      </c>
      <c r="C24" s="112" t="s">
        <v>132</v>
      </c>
      <c r="D24" s="32" t="s">
        <v>7</v>
      </c>
      <c r="E24" s="51">
        <v>1</v>
      </c>
      <c r="F24" s="51"/>
      <c r="G24" s="51"/>
      <c r="H24" s="52"/>
      <c r="I24" s="52"/>
      <c r="J24" s="52"/>
      <c r="K24" s="52"/>
      <c r="L24" s="52"/>
      <c r="M24" s="51"/>
      <c r="N24" s="51"/>
      <c r="O24" s="51"/>
      <c r="P24" s="51">
        <v>1</v>
      </c>
      <c r="Q24" s="51"/>
      <c r="R24" s="51"/>
      <c r="S24" s="51"/>
      <c r="T24" s="53">
        <v>1</v>
      </c>
      <c r="U24" s="178">
        <v>1</v>
      </c>
      <c r="V24" s="178"/>
      <c r="W24" s="178"/>
      <c r="X24" s="178"/>
      <c r="Y24" s="178"/>
      <c r="Z24" s="178"/>
    </row>
    <row r="25" spans="1:26" s="58" customFormat="1" ht="30" customHeight="1" x14ac:dyDescent="0.2">
      <c r="A25" s="17">
        <v>2</v>
      </c>
      <c r="B25" s="106">
        <v>12214</v>
      </c>
      <c r="C25" s="112" t="s">
        <v>133</v>
      </c>
      <c r="D25" s="32" t="s">
        <v>8</v>
      </c>
      <c r="E25" s="51"/>
      <c r="F25" s="51"/>
      <c r="G25" s="51"/>
      <c r="H25" s="52"/>
      <c r="I25" s="52"/>
      <c r="J25" s="52"/>
      <c r="K25" s="52"/>
      <c r="L25" s="52"/>
      <c r="M25" s="51"/>
      <c r="N25" s="51"/>
      <c r="O25" s="51"/>
      <c r="P25" s="51">
        <v>1</v>
      </c>
      <c r="Q25" s="51"/>
      <c r="R25" s="51"/>
      <c r="S25" s="51"/>
      <c r="T25" s="53">
        <v>1</v>
      </c>
      <c r="U25" s="178">
        <v>1</v>
      </c>
      <c r="V25" s="178"/>
      <c r="W25" s="178"/>
      <c r="X25" s="178"/>
      <c r="Y25" s="178"/>
      <c r="Z25" s="178"/>
    </row>
    <row r="26" spans="1:26" s="58" customFormat="1" ht="30" customHeight="1" x14ac:dyDescent="0.2">
      <c r="A26" s="17">
        <v>3</v>
      </c>
      <c r="B26" s="106">
        <v>12221</v>
      </c>
      <c r="C26" s="33" t="s">
        <v>134</v>
      </c>
      <c r="D26" s="34" t="s">
        <v>7</v>
      </c>
      <c r="E26" s="51"/>
      <c r="F26" s="51"/>
      <c r="G26" s="51"/>
      <c r="H26" s="52"/>
      <c r="I26" s="52"/>
      <c r="J26" s="52"/>
      <c r="K26" s="52"/>
      <c r="L26" s="52"/>
      <c r="M26" s="51"/>
      <c r="N26" s="51"/>
      <c r="O26" s="51"/>
      <c r="P26" s="51">
        <v>1</v>
      </c>
      <c r="Q26" s="51"/>
      <c r="R26" s="51"/>
      <c r="S26" s="51"/>
      <c r="T26" s="53">
        <v>1</v>
      </c>
      <c r="U26" s="178">
        <v>1</v>
      </c>
      <c r="V26" s="178"/>
      <c r="W26" s="178"/>
      <c r="X26" s="178"/>
      <c r="Y26" s="178"/>
      <c r="Z26" s="178"/>
    </row>
    <row r="27" spans="1:26" s="58" customFormat="1" ht="30" customHeight="1" x14ac:dyDescent="0.2">
      <c r="A27" s="17">
        <v>4</v>
      </c>
      <c r="B27" s="106">
        <v>12224</v>
      </c>
      <c r="C27" s="112" t="s">
        <v>135</v>
      </c>
      <c r="D27" s="32" t="s">
        <v>8</v>
      </c>
      <c r="E27" s="51"/>
      <c r="F27" s="51"/>
      <c r="G27" s="51"/>
      <c r="H27" s="52"/>
      <c r="I27" s="52"/>
      <c r="J27" s="52"/>
      <c r="K27" s="52"/>
      <c r="L27" s="52"/>
      <c r="M27" s="51"/>
      <c r="N27" s="51"/>
      <c r="O27" s="51"/>
      <c r="P27" s="51">
        <v>1</v>
      </c>
      <c r="Q27" s="51"/>
      <c r="R27" s="51"/>
      <c r="S27" s="51"/>
      <c r="T27" s="53">
        <v>1</v>
      </c>
      <c r="U27" s="178">
        <v>1</v>
      </c>
      <c r="V27" s="178"/>
      <c r="W27" s="178"/>
      <c r="X27" s="178"/>
      <c r="Y27" s="178"/>
      <c r="Z27" s="178"/>
    </row>
    <row r="28" spans="1:26" s="58" customFormat="1" ht="30" customHeight="1" x14ac:dyDescent="0.2">
      <c r="A28" s="17">
        <v>5</v>
      </c>
      <c r="B28" s="106">
        <v>12229</v>
      </c>
      <c r="C28" s="112" t="s">
        <v>136</v>
      </c>
      <c r="D28" s="32" t="s">
        <v>7</v>
      </c>
      <c r="E28" s="51"/>
      <c r="F28" s="51"/>
      <c r="G28" s="51"/>
      <c r="H28" s="52"/>
      <c r="I28" s="52"/>
      <c r="J28" s="52"/>
      <c r="K28" s="52"/>
      <c r="L28" s="52"/>
      <c r="M28" s="51"/>
      <c r="N28" s="51"/>
      <c r="O28" s="51"/>
      <c r="P28" s="51">
        <v>1</v>
      </c>
      <c r="Q28" s="51"/>
      <c r="R28" s="51"/>
      <c r="S28" s="51"/>
      <c r="T28" s="53">
        <v>1</v>
      </c>
      <c r="U28" s="178">
        <v>1</v>
      </c>
      <c r="V28" s="178"/>
      <c r="W28" s="178"/>
      <c r="X28" s="178"/>
      <c r="Y28" s="178"/>
      <c r="Z28" s="178"/>
    </row>
    <row r="29" spans="1:26" s="58" customFormat="1" ht="30" customHeight="1" x14ac:dyDescent="0.2">
      <c r="A29" s="17">
        <v>6</v>
      </c>
      <c r="B29" s="106">
        <v>12232</v>
      </c>
      <c r="C29" s="33" t="s">
        <v>137</v>
      </c>
      <c r="D29" s="34" t="s">
        <v>8</v>
      </c>
      <c r="E29" s="51"/>
      <c r="F29" s="51"/>
      <c r="G29" s="51"/>
      <c r="H29" s="52"/>
      <c r="I29" s="52"/>
      <c r="J29" s="52"/>
      <c r="K29" s="52"/>
      <c r="L29" s="52"/>
      <c r="M29" s="51"/>
      <c r="N29" s="51"/>
      <c r="O29" s="51"/>
      <c r="P29" s="51">
        <v>1</v>
      </c>
      <c r="Q29" s="51"/>
      <c r="R29" s="51"/>
      <c r="S29" s="51"/>
      <c r="T29" s="53">
        <v>1</v>
      </c>
      <c r="U29" s="178">
        <v>1</v>
      </c>
      <c r="V29" s="178"/>
      <c r="W29" s="178"/>
      <c r="X29" s="178"/>
      <c r="Y29" s="178"/>
      <c r="Z29" s="178"/>
    </row>
    <row r="30" spans="1:26" s="58" customFormat="1" ht="30" customHeight="1" x14ac:dyDescent="0.2">
      <c r="A30" s="17">
        <v>7</v>
      </c>
      <c r="B30" s="106">
        <v>12252</v>
      </c>
      <c r="C30" s="31" t="s">
        <v>138</v>
      </c>
      <c r="D30" s="32" t="s">
        <v>8</v>
      </c>
      <c r="E30" s="51"/>
      <c r="F30" s="51"/>
      <c r="G30" s="51"/>
      <c r="H30" s="52"/>
      <c r="I30" s="52"/>
      <c r="J30" s="52"/>
      <c r="K30" s="52"/>
      <c r="L30" s="52"/>
      <c r="M30" s="51"/>
      <c r="N30" s="51"/>
      <c r="O30" s="51"/>
      <c r="P30" s="51">
        <v>1</v>
      </c>
      <c r="Q30" s="51"/>
      <c r="R30" s="51"/>
      <c r="S30" s="51"/>
      <c r="T30" s="53">
        <v>1</v>
      </c>
      <c r="U30" s="178">
        <v>1</v>
      </c>
      <c r="V30" s="178"/>
      <c r="W30" s="178"/>
      <c r="X30" s="178"/>
      <c r="Y30" s="178"/>
      <c r="Z30" s="178"/>
    </row>
    <row r="31" spans="1:26" s="58" customFormat="1" ht="30" customHeight="1" x14ac:dyDescent="0.2">
      <c r="A31" s="17">
        <v>8</v>
      </c>
      <c r="B31" s="106">
        <v>12260</v>
      </c>
      <c r="C31" s="31" t="s">
        <v>139</v>
      </c>
      <c r="D31" s="32" t="s">
        <v>7</v>
      </c>
      <c r="E31" s="51"/>
      <c r="F31" s="51"/>
      <c r="G31" s="51"/>
      <c r="H31" s="52"/>
      <c r="I31" s="52"/>
      <c r="J31" s="52"/>
      <c r="K31" s="52"/>
      <c r="L31" s="52"/>
      <c r="M31" s="51"/>
      <c r="N31" s="51"/>
      <c r="O31" s="51"/>
      <c r="P31" s="51">
        <v>1</v>
      </c>
      <c r="Q31" s="51"/>
      <c r="R31" s="51"/>
      <c r="S31" s="51"/>
      <c r="T31" s="53">
        <v>1</v>
      </c>
      <c r="U31" s="178">
        <v>1</v>
      </c>
      <c r="V31" s="178"/>
      <c r="W31" s="178"/>
      <c r="X31" s="178"/>
      <c r="Y31" s="178"/>
      <c r="Z31" s="178"/>
    </row>
    <row r="32" spans="1:26" s="58" customFormat="1" ht="30" customHeight="1" x14ac:dyDescent="0.2">
      <c r="A32" s="17">
        <v>9</v>
      </c>
      <c r="B32" s="106">
        <v>12281</v>
      </c>
      <c r="C32" s="112" t="s">
        <v>140</v>
      </c>
      <c r="D32" s="32" t="s">
        <v>7</v>
      </c>
      <c r="E32" s="51"/>
      <c r="F32" s="51"/>
      <c r="G32" s="51"/>
      <c r="H32" s="52"/>
      <c r="I32" s="52"/>
      <c r="J32" s="52"/>
      <c r="K32" s="52"/>
      <c r="L32" s="52"/>
      <c r="M32" s="51"/>
      <c r="N32" s="51"/>
      <c r="O32" s="51"/>
      <c r="P32" s="51">
        <v>1</v>
      </c>
      <c r="Q32" s="51"/>
      <c r="R32" s="51"/>
      <c r="S32" s="51"/>
      <c r="T32" s="53">
        <v>1</v>
      </c>
      <c r="U32" s="178">
        <v>1</v>
      </c>
      <c r="V32" s="178"/>
      <c r="W32" s="178"/>
      <c r="X32" s="178"/>
      <c r="Y32" s="178"/>
      <c r="Z32" s="178"/>
    </row>
    <row r="33" spans="1:26" s="58" customFormat="1" ht="30" customHeight="1" x14ac:dyDescent="0.2">
      <c r="A33" s="17">
        <v>10</v>
      </c>
      <c r="B33" s="106">
        <v>12297</v>
      </c>
      <c r="C33" s="31" t="s">
        <v>141</v>
      </c>
      <c r="D33" s="32" t="s">
        <v>7</v>
      </c>
      <c r="E33" s="51"/>
      <c r="F33" s="51"/>
      <c r="G33" s="51"/>
      <c r="H33" s="52"/>
      <c r="I33" s="52"/>
      <c r="J33" s="52"/>
      <c r="K33" s="52"/>
      <c r="L33" s="52"/>
      <c r="M33" s="51"/>
      <c r="N33" s="51"/>
      <c r="O33" s="51"/>
      <c r="P33" s="51">
        <v>1</v>
      </c>
      <c r="Q33" s="51"/>
      <c r="R33" s="51"/>
      <c r="S33" s="51"/>
      <c r="T33" s="53">
        <v>1</v>
      </c>
      <c r="U33" s="178">
        <v>1</v>
      </c>
      <c r="V33" s="178"/>
      <c r="W33" s="178"/>
      <c r="X33" s="178"/>
      <c r="Y33" s="178"/>
      <c r="Z33" s="178"/>
    </row>
    <row r="34" spans="1:26" s="58" customFormat="1" ht="30" customHeight="1" x14ac:dyDescent="0.2">
      <c r="A34" s="17">
        <v>11</v>
      </c>
      <c r="B34" s="106">
        <v>12300</v>
      </c>
      <c r="C34" s="31" t="s">
        <v>142</v>
      </c>
      <c r="D34" s="32" t="s">
        <v>8</v>
      </c>
      <c r="E34" s="51"/>
      <c r="F34" s="51"/>
      <c r="G34" s="51"/>
      <c r="H34" s="52"/>
      <c r="I34" s="52"/>
      <c r="J34" s="52"/>
      <c r="K34" s="52"/>
      <c r="L34" s="52"/>
      <c r="M34" s="51"/>
      <c r="N34" s="51"/>
      <c r="O34" s="51"/>
      <c r="P34" s="51">
        <v>1</v>
      </c>
      <c r="Q34" s="51"/>
      <c r="R34" s="51"/>
      <c r="S34" s="51"/>
      <c r="T34" s="53">
        <v>1</v>
      </c>
      <c r="U34" s="178">
        <v>1</v>
      </c>
      <c r="V34" s="178"/>
      <c r="W34" s="178"/>
      <c r="X34" s="178"/>
      <c r="Y34" s="178"/>
      <c r="Z34" s="178"/>
    </row>
    <row r="35" spans="1:26" s="58" customFormat="1" ht="30" customHeight="1" x14ac:dyDescent="0.2">
      <c r="A35" s="17">
        <v>12</v>
      </c>
      <c r="B35" s="106">
        <v>12305</v>
      </c>
      <c r="C35" s="31" t="s">
        <v>143</v>
      </c>
      <c r="D35" s="32" t="s">
        <v>7</v>
      </c>
      <c r="E35" s="51"/>
      <c r="F35" s="51"/>
      <c r="G35" s="51"/>
      <c r="H35" s="52"/>
      <c r="I35" s="52"/>
      <c r="J35" s="52"/>
      <c r="K35" s="52"/>
      <c r="L35" s="52"/>
      <c r="M35" s="51"/>
      <c r="N35" s="51"/>
      <c r="O35" s="51"/>
      <c r="P35" s="51">
        <v>1</v>
      </c>
      <c r="Q35" s="51"/>
      <c r="R35" s="51"/>
      <c r="S35" s="51"/>
      <c r="T35" s="53">
        <v>1</v>
      </c>
      <c r="U35" s="178">
        <v>1</v>
      </c>
      <c r="V35" s="178"/>
      <c r="W35" s="178"/>
      <c r="X35" s="178"/>
      <c r="Y35" s="178"/>
      <c r="Z35" s="178"/>
    </row>
    <row r="36" spans="1:26" s="58" customFormat="1" ht="30" customHeight="1" x14ac:dyDescent="0.2">
      <c r="A36" s="17">
        <v>13</v>
      </c>
      <c r="B36" s="106">
        <v>12308</v>
      </c>
      <c r="C36" s="31" t="s">
        <v>144</v>
      </c>
      <c r="D36" s="32" t="s">
        <v>7</v>
      </c>
      <c r="E36" s="51"/>
      <c r="F36" s="51"/>
      <c r="G36" s="51"/>
      <c r="H36" s="52"/>
      <c r="I36" s="52"/>
      <c r="J36" s="52"/>
      <c r="K36" s="52"/>
      <c r="L36" s="52"/>
      <c r="M36" s="51"/>
      <c r="N36" s="51"/>
      <c r="O36" s="51"/>
      <c r="P36" s="51">
        <v>1</v>
      </c>
      <c r="Q36" s="51"/>
      <c r="R36" s="51"/>
      <c r="S36" s="51"/>
      <c r="T36" s="53">
        <v>1</v>
      </c>
      <c r="U36" s="178">
        <v>1</v>
      </c>
      <c r="V36" s="178"/>
      <c r="W36" s="178"/>
      <c r="X36" s="178"/>
      <c r="Y36" s="178"/>
      <c r="Z36" s="178"/>
    </row>
    <row r="37" spans="1:26" s="58" customFormat="1" ht="30" customHeight="1" x14ac:dyDescent="0.2">
      <c r="A37" s="17">
        <v>14</v>
      </c>
      <c r="B37" s="106">
        <v>12321</v>
      </c>
      <c r="C37" s="31" t="s">
        <v>145</v>
      </c>
      <c r="D37" s="32" t="s">
        <v>7</v>
      </c>
      <c r="E37" s="51"/>
      <c r="F37" s="51"/>
      <c r="G37" s="51"/>
      <c r="H37" s="52"/>
      <c r="I37" s="52"/>
      <c r="J37" s="52"/>
      <c r="K37" s="52"/>
      <c r="L37" s="52"/>
      <c r="M37" s="51"/>
      <c r="N37" s="51"/>
      <c r="O37" s="51"/>
      <c r="P37" s="51">
        <v>1</v>
      </c>
      <c r="Q37" s="51"/>
      <c r="R37" s="51"/>
      <c r="S37" s="51"/>
      <c r="T37" s="53">
        <v>1</v>
      </c>
      <c r="U37" s="178">
        <v>1</v>
      </c>
      <c r="V37" s="178"/>
      <c r="W37" s="178"/>
      <c r="X37" s="178"/>
      <c r="Y37" s="178"/>
      <c r="Z37" s="178"/>
    </row>
    <row r="38" spans="1:26" s="58" customFormat="1" ht="30" customHeight="1" x14ac:dyDescent="0.2">
      <c r="A38" s="17">
        <v>15</v>
      </c>
      <c r="B38" s="106">
        <v>12324</v>
      </c>
      <c r="C38" s="31" t="s">
        <v>146</v>
      </c>
      <c r="D38" s="32" t="s">
        <v>8</v>
      </c>
      <c r="E38" s="51"/>
      <c r="F38" s="51"/>
      <c r="G38" s="51"/>
      <c r="H38" s="52"/>
      <c r="I38" s="52"/>
      <c r="J38" s="52"/>
      <c r="K38" s="52"/>
      <c r="L38" s="52"/>
      <c r="M38" s="51"/>
      <c r="N38" s="51"/>
      <c r="O38" s="51"/>
      <c r="P38" s="51">
        <v>1</v>
      </c>
      <c r="Q38" s="51"/>
      <c r="R38" s="51"/>
      <c r="S38" s="51"/>
      <c r="T38" s="53">
        <v>1</v>
      </c>
      <c r="U38" s="178">
        <v>1</v>
      </c>
      <c r="V38" s="178"/>
      <c r="W38" s="178"/>
      <c r="X38" s="178"/>
      <c r="Y38" s="178"/>
      <c r="Z38" s="178"/>
    </row>
    <row r="39" spans="1:26" s="58" customFormat="1" ht="30" customHeight="1" x14ac:dyDescent="0.2">
      <c r="A39" s="17">
        <v>16</v>
      </c>
      <c r="B39" s="106">
        <v>12331</v>
      </c>
      <c r="C39" s="112" t="s">
        <v>147</v>
      </c>
      <c r="D39" s="32" t="s">
        <v>7</v>
      </c>
      <c r="E39" s="51"/>
      <c r="F39" s="51"/>
      <c r="G39" s="51"/>
      <c r="H39" s="52"/>
      <c r="I39" s="52"/>
      <c r="J39" s="52"/>
      <c r="K39" s="52"/>
      <c r="L39" s="52"/>
      <c r="M39" s="51"/>
      <c r="N39" s="51"/>
      <c r="O39" s="51"/>
      <c r="P39" s="51">
        <v>1</v>
      </c>
      <c r="Q39" s="51"/>
      <c r="R39" s="51"/>
      <c r="S39" s="51"/>
      <c r="T39" s="53">
        <v>1</v>
      </c>
      <c r="U39" s="178">
        <v>1</v>
      </c>
      <c r="V39" s="178"/>
      <c r="W39" s="178"/>
      <c r="X39" s="178"/>
      <c r="Y39" s="178"/>
      <c r="Z39" s="178"/>
    </row>
    <row r="40" spans="1:26" s="58" customFormat="1" ht="30" customHeight="1" x14ac:dyDescent="0.2">
      <c r="A40" s="17">
        <v>17</v>
      </c>
      <c r="B40" s="106">
        <v>12342</v>
      </c>
      <c r="C40" s="31" t="s">
        <v>148</v>
      </c>
      <c r="D40" s="32" t="s">
        <v>8</v>
      </c>
      <c r="E40" s="51"/>
      <c r="F40" s="51"/>
      <c r="G40" s="51"/>
      <c r="H40" s="52"/>
      <c r="I40" s="52"/>
      <c r="J40" s="52"/>
      <c r="K40" s="52"/>
      <c r="L40" s="52"/>
      <c r="M40" s="51"/>
      <c r="N40" s="51"/>
      <c r="O40" s="51"/>
      <c r="P40" s="51">
        <v>1</v>
      </c>
      <c r="Q40" s="51"/>
      <c r="R40" s="51"/>
      <c r="S40" s="51"/>
      <c r="T40" s="53">
        <v>1</v>
      </c>
      <c r="U40" s="178">
        <v>1</v>
      </c>
      <c r="V40" s="178"/>
      <c r="W40" s="178"/>
      <c r="X40" s="178"/>
      <c r="Y40" s="178"/>
      <c r="Z40" s="178"/>
    </row>
    <row r="41" spans="1:26" s="58" customFormat="1" ht="30" customHeight="1" x14ac:dyDescent="0.2">
      <c r="A41" s="17">
        <v>18</v>
      </c>
      <c r="B41" s="106">
        <v>12351</v>
      </c>
      <c r="C41" s="131" t="s">
        <v>149</v>
      </c>
      <c r="D41" s="34" t="s">
        <v>7</v>
      </c>
      <c r="E41" s="51"/>
      <c r="F41" s="51"/>
      <c r="G41" s="51"/>
      <c r="H41" s="52"/>
      <c r="I41" s="52"/>
      <c r="J41" s="52"/>
      <c r="K41" s="52"/>
      <c r="L41" s="52"/>
      <c r="M41" s="51"/>
      <c r="N41" s="51"/>
      <c r="O41" s="51"/>
      <c r="P41" s="51">
        <v>1</v>
      </c>
      <c r="Q41" s="51"/>
      <c r="R41" s="51"/>
      <c r="S41" s="51"/>
      <c r="T41" s="53">
        <v>1</v>
      </c>
      <c r="U41" s="178">
        <v>1</v>
      </c>
      <c r="V41" s="178"/>
      <c r="W41" s="178"/>
      <c r="X41" s="178"/>
      <c r="Y41" s="178"/>
      <c r="Z41" s="178"/>
    </row>
    <row r="42" spans="1:26" s="58" customFormat="1" ht="30" customHeight="1" x14ac:dyDescent="0.2">
      <c r="A42" s="17">
        <v>19</v>
      </c>
      <c r="B42" s="106">
        <v>12357</v>
      </c>
      <c r="C42" s="31" t="s">
        <v>150</v>
      </c>
      <c r="D42" s="32" t="s">
        <v>7</v>
      </c>
      <c r="E42" s="51"/>
      <c r="F42" s="51"/>
      <c r="G42" s="51"/>
      <c r="H42" s="52"/>
      <c r="I42" s="52"/>
      <c r="J42" s="52"/>
      <c r="K42" s="52"/>
      <c r="L42" s="52"/>
      <c r="M42" s="51"/>
      <c r="N42" s="51"/>
      <c r="O42" s="51"/>
      <c r="P42" s="51">
        <v>1</v>
      </c>
      <c r="Q42" s="51"/>
      <c r="R42" s="51"/>
      <c r="S42" s="51"/>
      <c r="T42" s="53">
        <v>1</v>
      </c>
      <c r="U42" s="178">
        <v>1</v>
      </c>
      <c r="V42" s="178"/>
      <c r="W42" s="178"/>
      <c r="X42" s="178"/>
      <c r="Y42" s="178"/>
      <c r="Z42" s="178"/>
    </row>
    <row r="43" spans="1:26" s="58" customFormat="1" ht="30" customHeight="1" x14ac:dyDescent="0.2">
      <c r="A43" s="17">
        <v>20</v>
      </c>
      <c r="B43" s="106">
        <v>12361</v>
      </c>
      <c r="C43" s="31" t="s">
        <v>151</v>
      </c>
      <c r="D43" s="32" t="s">
        <v>7</v>
      </c>
      <c r="E43" s="51"/>
      <c r="F43" s="51"/>
      <c r="G43" s="51"/>
      <c r="H43" s="52"/>
      <c r="I43" s="52"/>
      <c r="J43" s="52"/>
      <c r="K43" s="52"/>
      <c r="L43" s="52"/>
      <c r="M43" s="51"/>
      <c r="N43" s="51"/>
      <c r="O43" s="51"/>
      <c r="P43" s="51">
        <v>1</v>
      </c>
      <c r="Q43" s="51"/>
      <c r="R43" s="51"/>
      <c r="S43" s="51"/>
      <c r="T43" s="53">
        <v>1</v>
      </c>
      <c r="U43" s="178">
        <v>1</v>
      </c>
      <c r="V43" s="178"/>
      <c r="W43" s="178"/>
      <c r="X43" s="178"/>
      <c r="Y43" s="178"/>
      <c r="Z43" s="178"/>
    </row>
    <row r="44" spans="1:26" s="58" customFormat="1" ht="30" customHeight="1" x14ac:dyDescent="0.2">
      <c r="A44" s="17">
        <v>21</v>
      </c>
      <c r="B44" s="106">
        <v>12369</v>
      </c>
      <c r="C44" s="112" t="s">
        <v>152</v>
      </c>
      <c r="D44" s="32" t="s">
        <v>7</v>
      </c>
      <c r="E44" s="51"/>
      <c r="F44" s="51"/>
      <c r="G44" s="51"/>
      <c r="H44" s="52"/>
      <c r="I44" s="52"/>
      <c r="J44" s="52"/>
      <c r="K44" s="52"/>
      <c r="L44" s="52"/>
      <c r="M44" s="51"/>
      <c r="N44" s="51"/>
      <c r="O44" s="51"/>
      <c r="P44" s="51">
        <v>1</v>
      </c>
      <c r="Q44" s="51"/>
      <c r="R44" s="51"/>
      <c r="S44" s="51"/>
      <c r="T44" s="53">
        <v>1</v>
      </c>
      <c r="U44" s="178">
        <v>1</v>
      </c>
      <c r="V44" s="178"/>
      <c r="W44" s="178"/>
      <c r="X44" s="178"/>
      <c r="Y44" s="178"/>
      <c r="Z44" s="178"/>
    </row>
    <row r="45" spans="1:26" s="58" customFormat="1" ht="30" customHeight="1" x14ac:dyDescent="0.2">
      <c r="A45" s="17">
        <v>22</v>
      </c>
      <c r="B45" s="106">
        <v>12378</v>
      </c>
      <c r="C45" s="31" t="s">
        <v>153</v>
      </c>
      <c r="D45" s="32" t="s">
        <v>7</v>
      </c>
      <c r="E45" s="51"/>
      <c r="F45" s="51"/>
      <c r="G45" s="51"/>
      <c r="H45" s="52"/>
      <c r="I45" s="52"/>
      <c r="J45" s="52"/>
      <c r="K45" s="52"/>
      <c r="L45" s="52"/>
      <c r="M45" s="51"/>
      <c r="N45" s="51"/>
      <c r="O45" s="51"/>
      <c r="P45" s="51"/>
      <c r="Q45" s="51"/>
      <c r="R45" s="51"/>
      <c r="S45" s="51"/>
      <c r="T45" s="53"/>
      <c r="U45" s="178">
        <v>1</v>
      </c>
      <c r="V45" s="178"/>
      <c r="W45" s="178"/>
      <c r="X45" s="178"/>
      <c r="Y45" s="178"/>
      <c r="Z45" s="178"/>
    </row>
    <row r="46" spans="1:26" s="58" customFormat="1" ht="30" customHeight="1" x14ac:dyDescent="0.2">
      <c r="A46" s="17">
        <v>23</v>
      </c>
      <c r="B46" s="106">
        <v>12381</v>
      </c>
      <c r="C46" s="31" t="s">
        <v>154</v>
      </c>
      <c r="D46" s="32" t="s">
        <v>8</v>
      </c>
      <c r="E46" s="51"/>
      <c r="F46" s="51"/>
      <c r="G46" s="51"/>
      <c r="H46" s="52"/>
      <c r="I46" s="52"/>
      <c r="J46" s="52"/>
      <c r="K46" s="52"/>
      <c r="L46" s="52"/>
      <c r="M46" s="51"/>
      <c r="N46" s="51"/>
      <c r="O46" s="51"/>
      <c r="P46" s="51"/>
      <c r="Q46" s="51"/>
      <c r="R46" s="51"/>
      <c r="S46" s="51"/>
      <c r="T46" s="53"/>
      <c r="U46" s="143"/>
      <c r="V46" s="144"/>
      <c r="W46" s="144"/>
      <c r="X46" s="144"/>
      <c r="Y46" s="144"/>
      <c r="Z46" s="145"/>
    </row>
    <row r="47" spans="1:26" s="58" customFormat="1" ht="30" customHeight="1" x14ac:dyDescent="0.2">
      <c r="A47" s="17">
        <v>24</v>
      </c>
      <c r="B47" s="106">
        <v>12392</v>
      </c>
      <c r="C47" s="31" t="s">
        <v>155</v>
      </c>
      <c r="D47" s="32" t="s">
        <v>7</v>
      </c>
      <c r="E47" s="51"/>
      <c r="F47" s="51"/>
      <c r="G47" s="51"/>
      <c r="H47" s="52"/>
      <c r="I47" s="52"/>
      <c r="J47" s="52"/>
      <c r="K47" s="52"/>
      <c r="L47" s="52"/>
      <c r="M47" s="51"/>
      <c r="N47" s="51"/>
      <c r="O47" s="51"/>
      <c r="P47" s="51"/>
      <c r="Q47" s="51"/>
      <c r="R47" s="51"/>
      <c r="S47" s="51"/>
      <c r="T47" s="53"/>
      <c r="U47" s="143"/>
      <c r="V47" s="144"/>
      <c r="W47" s="144"/>
      <c r="X47" s="144"/>
      <c r="Y47" s="144"/>
      <c r="Z47" s="145"/>
    </row>
    <row r="48" spans="1:26" s="58" customFormat="1" ht="30" customHeight="1" x14ac:dyDescent="0.2">
      <c r="A48" s="17">
        <v>25</v>
      </c>
      <c r="B48" s="106">
        <v>12397</v>
      </c>
      <c r="C48" s="31" t="s">
        <v>156</v>
      </c>
      <c r="D48" s="32" t="s">
        <v>7</v>
      </c>
      <c r="E48" s="51"/>
      <c r="F48" s="51"/>
      <c r="G48" s="51"/>
      <c r="H48" s="52"/>
      <c r="I48" s="52"/>
      <c r="J48" s="52"/>
      <c r="K48" s="52"/>
      <c r="L48" s="52"/>
      <c r="M48" s="51"/>
      <c r="N48" s="51"/>
      <c r="O48" s="51"/>
      <c r="P48" s="51"/>
      <c r="Q48" s="51"/>
      <c r="R48" s="51"/>
      <c r="S48" s="51"/>
      <c r="T48" s="53"/>
      <c r="U48" s="143"/>
      <c r="V48" s="144"/>
      <c r="W48" s="144"/>
      <c r="X48" s="144"/>
      <c r="Y48" s="144"/>
      <c r="Z48" s="145"/>
    </row>
    <row r="49" spans="1:26" s="58" customFormat="1" ht="30" customHeight="1" x14ac:dyDescent="0.2">
      <c r="A49" s="17">
        <v>26</v>
      </c>
      <c r="B49" s="106">
        <v>12398</v>
      </c>
      <c r="C49" s="31" t="s">
        <v>157</v>
      </c>
      <c r="D49" s="32" t="s">
        <v>8</v>
      </c>
      <c r="E49" s="51"/>
      <c r="F49" s="51"/>
      <c r="G49" s="51"/>
      <c r="H49" s="52"/>
      <c r="I49" s="52"/>
      <c r="J49" s="52"/>
      <c r="K49" s="52"/>
      <c r="L49" s="52"/>
      <c r="M49" s="51"/>
      <c r="N49" s="51"/>
      <c r="O49" s="51"/>
      <c r="P49" s="51"/>
      <c r="Q49" s="51"/>
      <c r="R49" s="51"/>
      <c r="S49" s="51"/>
      <c r="T49" s="53"/>
      <c r="U49" s="143"/>
      <c r="V49" s="144"/>
      <c r="W49" s="144"/>
      <c r="X49" s="144"/>
      <c r="Y49" s="144"/>
      <c r="Z49" s="145"/>
    </row>
    <row r="50" spans="1:26" s="58" customFormat="1" ht="30" customHeight="1" x14ac:dyDescent="0.2">
      <c r="A50" s="17">
        <v>27</v>
      </c>
      <c r="B50" s="106">
        <v>12399</v>
      </c>
      <c r="C50" s="31" t="s">
        <v>158</v>
      </c>
      <c r="D50" s="32" t="s">
        <v>8</v>
      </c>
      <c r="E50" s="51"/>
      <c r="F50" s="51"/>
      <c r="G50" s="51"/>
      <c r="H50" s="52"/>
      <c r="I50" s="52"/>
      <c r="J50" s="52"/>
      <c r="K50" s="52"/>
      <c r="L50" s="52"/>
      <c r="M50" s="51"/>
      <c r="N50" s="51"/>
      <c r="O50" s="51"/>
      <c r="P50" s="51"/>
      <c r="Q50" s="51"/>
      <c r="R50" s="51"/>
      <c r="S50" s="51"/>
      <c r="T50" s="53"/>
      <c r="U50" s="53"/>
      <c r="V50" s="83"/>
      <c r="W50" s="83"/>
      <c r="X50" s="83"/>
      <c r="Y50" s="83"/>
      <c r="Z50" s="84"/>
    </row>
    <row r="51" spans="1:26" s="58" customFormat="1" ht="30" customHeight="1" x14ac:dyDescent="0.2">
      <c r="A51" s="17">
        <v>28</v>
      </c>
      <c r="B51" s="106">
        <v>12416</v>
      </c>
      <c r="C51" s="31" t="s">
        <v>159</v>
      </c>
      <c r="D51" s="32" t="s">
        <v>7</v>
      </c>
      <c r="E51" s="51"/>
      <c r="F51" s="51"/>
      <c r="G51" s="51"/>
      <c r="H51" s="52"/>
      <c r="I51" s="52"/>
      <c r="J51" s="52"/>
      <c r="K51" s="52"/>
      <c r="L51" s="52"/>
      <c r="M51" s="51"/>
      <c r="N51" s="51"/>
      <c r="O51" s="51"/>
      <c r="P51" s="51"/>
      <c r="Q51" s="51"/>
      <c r="R51" s="51"/>
      <c r="S51" s="51"/>
      <c r="T51" s="53"/>
      <c r="U51" s="53"/>
      <c r="V51" s="83"/>
      <c r="W51" s="83"/>
      <c r="X51" s="83"/>
      <c r="Y51" s="83"/>
      <c r="Z51" s="84"/>
    </row>
    <row r="52" spans="1:26" s="58" customFormat="1" ht="30" customHeight="1" x14ac:dyDescent="0.2">
      <c r="A52" s="17">
        <v>29</v>
      </c>
      <c r="B52" s="106">
        <v>12422</v>
      </c>
      <c r="C52" s="112" t="s">
        <v>160</v>
      </c>
      <c r="D52" s="32" t="s">
        <v>7</v>
      </c>
      <c r="E52" s="51"/>
      <c r="F52" s="51"/>
      <c r="G52" s="51"/>
      <c r="H52" s="52"/>
      <c r="I52" s="52"/>
      <c r="J52" s="52"/>
      <c r="K52" s="52"/>
      <c r="L52" s="52"/>
      <c r="M52" s="51"/>
      <c r="N52" s="51"/>
      <c r="O52" s="51"/>
      <c r="P52" s="51">
        <v>1</v>
      </c>
      <c r="Q52" s="51"/>
      <c r="R52" s="51"/>
      <c r="S52" s="51"/>
      <c r="T52" s="53">
        <v>1</v>
      </c>
      <c r="U52" s="143"/>
      <c r="V52" s="144"/>
      <c r="W52" s="144"/>
      <c r="X52" s="144"/>
      <c r="Y52" s="144"/>
      <c r="Z52" s="145"/>
    </row>
    <row r="53" spans="1:26" s="58" customFormat="1" ht="30" customHeight="1" x14ac:dyDescent="0.2">
      <c r="A53" s="17">
        <v>30</v>
      </c>
      <c r="B53" s="106">
        <v>12434</v>
      </c>
      <c r="C53" s="33" t="s">
        <v>161</v>
      </c>
      <c r="D53" s="34" t="s">
        <v>7</v>
      </c>
      <c r="E53" s="51"/>
      <c r="F53" s="51"/>
      <c r="G53" s="51"/>
      <c r="H53" s="52"/>
      <c r="I53" s="52"/>
      <c r="J53" s="52"/>
      <c r="K53" s="52"/>
      <c r="L53" s="52"/>
      <c r="M53" s="51"/>
      <c r="N53" s="51"/>
      <c r="O53" s="51"/>
      <c r="P53" s="52"/>
      <c r="Q53" s="52"/>
      <c r="R53" s="52"/>
      <c r="S53" s="52"/>
      <c r="T53" s="53"/>
      <c r="U53" s="143"/>
      <c r="V53" s="144"/>
      <c r="W53" s="144"/>
      <c r="X53" s="144"/>
      <c r="Y53" s="144"/>
      <c r="Z53" s="145"/>
    </row>
    <row r="54" spans="1:26" s="58" customFormat="1" ht="30" customHeight="1" x14ac:dyDescent="0.2">
      <c r="A54" s="17">
        <v>31</v>
      </c>
      <c r="B54" s="106">
        <v>12444</v>
      </c>
      <c r="C54" s="129" t="s">
        <v>162</v>
      </c>
      <c r="D54" s="34" t="s">
        <v>7</v>
      </c>
      <c r="E54" s="51"/>
      <c r="F54" s="51"/>
      <c r="G54" s="51"/>
      <c r="H54" s="52"/>
      <c r="I54" s="52"/>
      <c r="J54" s="52"/>
      <c r="K54" s="52"/>
      <c r="L54" s="52"/>
      <c r="M54" s="51"/>
      <c r="N54" s="51"/>
      <c r="O54" s="51"/>
      <c r="P54" s="52"/>
      <c r="Q54" s="52"/>
      <c r="R54" s="52"/>
      <c r="S54" s="52"/>
      <c r="T54" s="53"/>
      <c r="U54" s="53"/>
      <c r="V54" s="83"/>
      <c r="W54" s="83"/>
      <c r="X54" s="83"/>
      <c r="Y54" s="83"/>
      <c r="Z54" s="84"/>
    </row>
    <row r="55" spans="1:26" s="58" customFormat="1" ht="30" customHeight="1" x14ac:dyDescent="0.2">
      <c r="A55" s="17">
        <v>32</v>
      </c>
      <c r="B55" s="106">
        <v>12461</v>
      </c>
      <c r="C55" s="33" t="s">
        <v>163</v>
      </c>
      <c r="D55" s="34" t="s">
        <v>8</v>
      </c>
      <c r="E55" s="51"/>
      <c r="F55" s="51"/>
      <c r="G55" s="51"/>
      <c r="H55" s="52"/>
      <c r="I55" s="52"/>
      <c r="J55" s="52"/>
      <c r="K55" s="52"/>
      <c r="L55" s="52"/>
      <c r="M55" s="51"/>
      <c r="N55" s="51"/>
      <c r="O55" s="51"/>
      <c r="P55" s="52"/>
      <c r="Q55" s="52"/>
      <c r="R55" s="52"/>
      <c r="S55" s="52"/>
      <c r="T55" s="53"/>
      <c r="U55" s="53"/>
      <c r="V55" s="83"/>
      <c r="W55" s="83"/>
      <c r="X55" s="83"/>
      <c r="Y55" s="83"/>
      <c r="Z55" s="84"/>
    </row>
    <row r="56" spans="1:26" s="58" customFormat="1" ht="30" customHeight="1" x14ac:dyDescent="0.2">
      <c r="A56" s="17">
        <v>33</v>
      </c>
      <c r="B56" s="106">
        <v>12470</v>
      </c>
      <c r="C56" s="112" t="s">
        <v>164</v>
      </c>
      <c r="D56" s="32" t="s">
        <v>8</v>
      </c>
      <c r="E56" s="51"/>
      <c r="F56" s="51"/>
      <c r="G56" s="51"/>
      <c r="H56" s="52"/>
      <c r="I56" s="52"/>
      <c r="J56" s="52"/>
      <c r="K56" s="52"/>
      <c r="L56" s="52"/>
      <c r="M56" s="51"/>
      <c r="N56" s="51"/>
      <c r="O56" s="51"/>
      <c r="P56" s="52"/>
      <c r="Q56" s="52"/>
      <c r="R56" s="52"/>
      <c r="S56" s="52"/>
      <c r="T56" s="53"/>
      <c r="U56" s="143"/>
      <c r="V56" s="144"/>
      <c r="W56" s="144"/>
      <c r="X56" s="144"/>
      <c r="Y56" s="144"/>
      <c r="Z56" s="145"/>
    </row>
    <row r="57" spans="1:26" s="58" customFormat="1" ht="30" customHeight="1" x14ac:dyDescent="0.2">
      <c r="A57" s="17">
        <v>34</v>
      </c>
      <c r="B57" s="106">
        <v>12472</v>
      </c>
      <c r="C57" s="31" t="s">
        <v>165</v>
      </c>
      <c r="D57" s="32" t="s">
        <v>7</v>
      </c>
      <c r="E57" s="51"/>
      <c r="F57" s="51"/>
      <c r="G57" s="51"/>
      <c r="H57" s="52"/>
      <c r="I57" s="52"/>
      <c r="J57" s="52"/>
      <c r="K57" s="52"/>
      <c r="L57" s="52"/>
      <c r="M57" s="51"/>
      <c r="N57" s="51"/>
      <c r="O57" s="51"/>
      <c r="P57" s="52"/>
      <c r="Q57" s="52"/>
      <c r="R57" s="52"/>
      <c r="S57" s="52"/>
      <c r="T57" s="53"/>
      <c r="U57" s="178">
        <v>1</v>
      </c>
      <c r="V57" s="178"/>
      <c r="W57" s="178"/>
      <c r="X57" s="178"/>
      <c r="Y57" s="178"/>
      <c r="Z57" s="178"/>
    </row>
    <row r="58" spans="1:26" s="23" customFormat="1" ht="30" customHeight="1" x14ac:dyDescent="0.25">
      <c r="A58" s="54"/>
      <c r="B58" s="55"/>
      <c r="C58" s="45" t="s">
        <v>9</v>
      </c>
      <c r="D58" s="70">
        <f>COUNTIF(D24:D57,"L")</f>
        <v>22</v>
      </c>
      <c r="E58" s="56"/>
      <c r="F58" s="57"/>
      <c r="G58" s="57"/>
      <c r="H58" s="57"/>
      <c r="I58" s="57"/>
      <c r="J58" s="58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s="23" customFormat="1" ht="30" customHeight="1" x14ac:dyDescent="0.25">
      <c r="A59" s="54"/>
      <c r="B59" s="54"/>
      <c r="C59" s="45" t="s">
        <v>10</v>
      </c>
      <c r="D59" s="37">
        <f>COUNTIF(D24:D57,"P")</f>
        <v>12</v>
      </c>
      <c r="E59" s="59"/>
      <c r="F59" s="58"/>
      <c r="G59" s="58"/>
      <c r="H59" s="58"/>
      <c r="I59" s="58"/>
      <c r="J59" s="58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s="26" customFormat="1" ht="30" customHeight="1" x14ac:dyDescent="0.25">
      <c r="A60" s="58"/>
      <c r="B60" s="58"/>
      <c r="C60" s="46" t="s">
        <v>11</v>
      </c>
      <c r="D60" s="47">
        <f>SUM(D58:D59)</f>
        <v>34</v>
      </c>
      <c r="E60" s="59"/>
      <c r="F60" s="58"/>
      <c r="G60" s="58"/>
      <c r="H60" s="58"/>
      <c r="I60" s="58"/>
      <c r="J60" s="58"/>
      <c r="K60" s="58"/>
      <c r="L60" s="58"/>
      <c r="M60" s="58"/>
      <c r="N60" s="76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7.45" customHeight="1" x14ac:dyDescent="0.2">
      <c r="A61" s="78"/>
      <c r="B61" s="78"/>
      <c r="C61" s="179" t="s">
        <v>12</v>
      </c>
      <c r="D61" s="179"/>
      <c r="E61" s="80"/>
      <c r="F61" s="78"/>
      <c r="G61" s="78"/>
      <c r="H61" s="78"/>
      <c r="I61" s="78"/>
      <c r="J61" s="78"/>
      <c r="K61" s="78"/>
      <c r="L61" s="78"/>
      <c r="M61" s="78"/>
      <c r="N61" s="81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16"/>
    </row>
    <row r="62" spans="1:26" ht="17.45" customHeight="1" x14ac:dyDescent="0.2">
      <c r="A62" s="78"/>
      <c r="B62" s="78"/>
      <c r="E62" s="80"/>
      <c r="F62" s="78"/>
      <c r="G62" s="78"/>
      <c r="H62" s="78"/>
      <c r="I62" s="78"/>
      <c r="J62" s="78"/>
      <c r="K62" s="78"/>
      <c r="L62" s="78"/>
      <c r="M62" s="78"/>
      <c r="N62" s="81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16"/>
    </row>
    <row r="63" spans="1:26" ht="17.45" customHeight="1" x14ac:dyDescent="0.2">
      <c r="A63" s="78"/>
      <c r="B63" s="78"/>
      <c r="E63" s="80"/>
      <c r="F63" s="78"/>
      <c r="G63" s="78"/>
      <c r="H63" s="78"/>
      <c r="I63" s="78"/>
      <c r="J63" s="78"/>
      <c r="K63" s="78"/>
      <c r="L63" s="78"/>
      <c r="M63" s="78"/>
      <c r="N63" s="81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16"/>
    </row>
    <row r="64" spans="1:26" ht="17.45" customHeight="1" x14ac:dyDescent="0.2">
      <c r="A64" s="78"/>
      <c r="B64" s="78"/>
      <c r="C64" s="79"/>
      <c r="D64" s="79"/>
      <c r="E64" s="80"/>
      <c r="F64" s="78"/>
      <c r="G64" s="78"/>
      <c r="H64" s="78"/>
      <c r="I64" s="78"/>
      <c r="J64" s="78"/>
      <c r="K64" s="78"/>
      <c r="L64" s="78"/>
      <c r="M64" s="78"/>
      <c r="N64" s="81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16"/>
    </row>
    <row r="65" spans="1:26" ht="17.45" customHeight="1" x14ac:dyDescent="0.2">
      <c r="A65" s="78"/>
      <c r="B65" s="78"/>
      <c r="C65" s="82"/>
      <c r="D65" s="82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16"/>
    </row>
    <row r="66" spans="1:26" ht="17.45" customHeight="1" x14ac:dyDescent="0.2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16"/>
    </row>
    <row r="67" spans="1:26" ht="15.75" x14ac:dyDescent="0.25">
      <c r="A67" s="2"/>
      <c r="B67" s="2"/>
      <c r="C67" s="8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8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x14ac:dyDescent="0.3">
      <c r="C69" s="5"/>
      <c r="D69" s="5"/>
    </row>
    <row r="70" spans="1:26" ht="14.25" customHeight="1" x14ac:dyDescent="0.3">
      <c r="C70" s="5"/>
      <c r="D70" s="5"/>
    </row>
    <row r="71" spans="1:26" ht="12.75" customHeight="1" x14ac:dyDescent="0.3">
      <c r="C71" s="5"/>
      <c r="D71" s="5"/>
    </row>
    <row r="72" spans="1:26" ht="12.75" customHeight="1" x14ac:dyDescent="0.3">
      <c r="C72" s="5"/>
      <c r="D72" s="5"/>
    </row>
  </sheetData>
  <sheetProtection selectLockedCells="1" selectUnlockedCells="1"/>
  <mergeCells count="42">
    <mergeCell ref="U39:Z39"/>
    <mergeCell ref="U49:Z49"/>
    <mergeCell ref="A14:Z14"/>
    <mergeCell ref="A15:Z15"/>
    <mergeCell ref="A20:A23"/>
    <mergeCell ref="B20:B23"/>
    <mergeCell ref="U33:Z33"/>
    <mergeCell ref="U34:Z34"/>
    <mergeCell ref="U25:Z25"/>
    <mergeCell ref="U26:Z26"/>
    <mergeCell ref="U27:Z27"/>
    <mergeCell ref="U29:Z29"/>
    <mergeCell ref="U30:Z30"/>
    <mergeCell ref="U38:Z38"/>
    <mergeCell ref="U28:Z28"/>
    <mergeCell ref="U36:Z36"/>
    <mergeCell ref="C61:D61"/>
    <mergeCell ref="U40:Z40"/>
    <mergeCell ref="U41:Z41"/>
    <mergeCell ref="U42:Z42"/>
    <mergeCell ref="U43:Z43"/>
    <mergeCell ref="U52:Z52"/>
    <mergeCell ref="U45:Z45"/>
    <mergeCell ref="U57:Z57"/>
    <mergeCell ref="U46:Z46"/>
    <mergeCell ref="U47:Z47"/>
    <mergeCell ref="U48:Z48"/>
    <mergeCell ref="U44:Z44"/>
    <mergeCell ref="U53:Z53"/>
    <mergeCell ref="U56:Z56"/>
    <mergeCell ref="U32:Z32"/>
    <mergeCell ref="U37:Z37"/>
    <mergeCell ref="U35:Z35"/>
    <mergeCell ref="C20:C23"/>
    <mergeCell ref="D20:D23"/>
    <mergeCell ref="E21:T22"/>
    <mergeCell ref="U24:Z24"/>
    <mergeCell ref="M17:P17"/>
    <mergeCell ref="M18:P18"/>
    <mergeCell ref="E20:T20"/>
    <mergeCell ref="U20:Z23"/>
    <mergeCell ref="U31:Z31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"/>
  <sheetViews>
    <sheetView view="pageBreakPreview" topLeftCell="A40" zoomScale="71" zoomScaleNormal="75" zoomScaleSheetLayoutView="71" workbookViewId="0">
      <selection activeCell="H47" sqref="H47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7.100000000000001" customHeight="1" x14ac:dyDescent="0.2"/>
    <row r="14" spans="1:26" ht="18.95" customHeight="1" x14ac:dyDescent="0.2">
      <c r="A14" s="147" t="s">
        <v>13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0.100000000000001" customHeight="1" x14ac:dyDescent="0.2">
      <c r="A15" s="147" t="s">
        <v>29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12.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100000000000001" customHeight="1" x14ac:dyDescent="0.2">
      <c r="A17" s="41"/>
      <c r="B17" s="41"/>
      <c r="C17" s="41"/>
      <c r="D17" s="41"/>
      <c r="E17" s="111"/>
      <c r="F17" s="111"/>
      <c r="G17" s="111"/>
      <c r="H17" s="50"/>
      <c r="I17" s="50"/>
      <c r="J17" s="41"/>
      <c r="K17" s="41"/>
      <c r="L17" s="158" t="s">
        <v>0</v>
      </c>
      <c r="M17" s="158"/>
      <c r="N17" s="158"/>
      <c r="O17" s="158"/>
      <c r="P17" s="42" t="s">
        <v>25</v>
      </c>
      <c r="Q17" s="42"/>
      <c r="R17" s="50"/>
      <c r="S17" s="50"/>
      <c r="T17" s="50"/>
      <c r="U17" s="65"/>
      <c r="V17" s="50"/>
      <c r="W17" s="50"/>
      <c r="X17" s="50"/>
      <c r="Y17" s="50"/>
      <c r="Z17" s="50"/>
    </row>
    <row r="18" spans="1:26" ht="17.100000000000001" customHeight="1" x14ac:dyDescent="0.2">
      <c r="A18" s="66" t="s">
        <v>15</v>
      </c>
      <c r="B18" s="41"/>
      <c r="C18" s="41"/>
      <c r="D18" s="41"/>
      <c r="E18" s="111"/>
      <c r="F18" s="111"/>
      <c r="G18" s="111"/>
      <c r="H18" s="50"/>
      <c r="I18" s="50"/>
      <c r="J18" s="41"/>
      <c r="K18" s="41"/>
      <c r="L18" s="158" t="s">
        <v>1</v>
      </c>
      <c r="M18" s="158"/>
      <c r="N18" s="158"/>
      <c r="O18" s="158"/>
      <c r="P18" s="42" t="s">
        <v>314</v>
      </c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2.6" customHeight="1" x14ac:dyDescent="0.2">
      <c r="M19" s="2"/>
    </row>
    <row r="20" spans="1:26" ht="20.100000000000001" customHeight="1" x14ac:dyDescent="0.2">
      <c r="A20" s="151" t="s">
        <v>2</v>
      </c>
      <c r="B20" s="151" t="s">
        <v>3</v>
      </c>
      <c r="C20" s="151" t="s">
        <v>4</v>
      </c>
      <c r="D20" s="151" t="s">
        <v>5</v>
      </c>
      <c r="E20" s="156" t="s">
        <v>6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2" t="s">
        <v>14</v>
      </c>
      <c r="V20" s="153"/>
      <c r="W20" s="153"/>
      <c r="X20" s="153"/>
      <c r="Y20" s="153"/>
      <c r="Z20" s="184"/>
    </row>
    <row r="21" spans="1:26" ht="12.6" customHeight="1" x14ac:dyDescent="0.2">
      <c r="A21" s="151"/>
      <c r="B21" s="151"/>
      <c r="C21" s="151"/>
      <c r="D21" s="151"/>
      <c r="E21" s="152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64"/>
      <c r="V21" s="165"/>
      <c r="W21" s="165"/>
      <c r="X21" s="165"/>
      <c r="Y21" s="165"/>
      <c r="Z21" s="185"/>
    </row>
    <row r="22" spans="1:26" ht="12.6" customHeight="1" x14ac:dyDescent="0.2">
      <c r="A22" s="151"/>
      <c r="B22" s="151"/>
      <c r="C22" s="151"/>
      <c r="D22" s="151"/>
      <c r="E22" s="167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4"/>
      <c r="V22" s="165"/>
      <c r="W22" s="165"/>
      <c r="X22" s="165"/>
      <c r="Y22" s="165"/>
      <c r="Z22" s="185"/>
    </row>
    <row r="23" spans="1:26" ht="20.100000000000001" customHeight="1" x14ac:dyDescent="0.2">
      <c r="A23" s="151"/>
      <c r="B23" s="151"/>
      <c r="C23" s="151"/>
      <c r="D23" s="151"/>
      <c r="E23" s="67">
        <v>1</v>
      </c>
      <c r="F23" s="40">
        <v>2</v>
      </c>
      <c r="G23" s="40">
        <v>3</v>
      </c>
      <c r="H23" s="40">
        <v>4</v>
      </c>
      <c r="I23" s="40">
        <v>5</v>
      </c>
      <c r="J23" s="40">
        <v>6</v>
      </c>
      <c r="K23" s="40">
        <v>7</v>
      </c>
      <c r="L23" s="40">
        <v>8</v>
      </c>
      <c r="M23" s="40">
        <v>9</v>
      </c>
      <c r="N23" s="40">
        <v>10</v>
      </c>
      <c r="O23" s="40">
        <v>11</v>
      </c>
      <c r="P23" s="40">
        <v>12</v>
      </c>
      <c r="Q23" s="40">
        <v>13</v>
      </c>
      <c r="R23" s="40">
        <v>14</v>
      </c>
      <c r="S23" s="40">
        <v>15</v>
      </c>
      <c r="T23" s="68">
        <v>16</v>
      </c>
      <c r="U23" s="167"/>
      <c r="V23" s="168"/>
      <c r="W23" s="168"/>
      <c r="X23" s="168"/>
      <c r="Y23" s="168"/>
      <c r="Z23" s="186"/>
    </row>
    <row r="24" spans="1:26" s="3" customFormat="1" ht="30" customHeight="1" x14ac:dyDescent="0.2">
      <c r="A24" s="17">
        <v>1</v>
      </c>
      <c r="B24" s="106">
        <v>12208</v>
      </c>
      <c r="C24" s="33" t="s">
        <v>166</v>
      </c>
      <c r="D24" s="34" t="s">
        <v>7</v>
      </c>
      <c r="E24" s="85">
        <v>1</v>
      </c>
      <c r="F24" s="85"/>
      <c r="G24" s="85"/>
      <c r="H24" s="86"/>
      <c r="I24" s="86"/>
      <c r="J24" s="86"/>
      <c r="K24" s="86"/>
      <c r="L24" s="86"/>
      <c r="M24" s="85"/>
      <c r="N24" s="85"/>
      <c r="O24" s="85"/>
      <c r="P24" s="85">
        <v>1</v>
      </c>
      <c r="Q24" s="85"/>
      <c r="R24" s="85"/>
      <c r="S24" s="85"/>
      <c r="T24" s="86">
        <v>1</v>
      </c>
      <c r="U24" s="181">
        <v>1</v>
      </c>
      <c r="V24" s="181"/>
      <c r="W24" s="181"/>
      <c r="X24" s="181"/>
      <c r="Y24" s="181"/>
      <c r="Z24" s="182"/>
    </row>
    <row r="25" spans="1:26" s="3" customFormat="1" ht="30" customHeight="1" x14ac:dyDescent="0.2">
      <c r="A25" s="17">
        <v>2</v>
      </c>
      <c r="B25" s="106">
        <v>12210</v>
      </c>
      <c r="C25" s="31" t="s">
        <v>167</v>
      </c>
      <c r="D25" s="32" t="s">
        <v>8</v>
      </c>
      <c r="E25" s="85"/>
      <c r="F25" s="85"/>
      <c r="G25" s="85"/>
      <c r="H25" s="86"/>
      <c r="I25" s="86"/>
      <c r="J25" s="86"/>
      <c r="K25" s="86"/>
      <c r="L25" s="86"/>
      <c r="M25" s="85"/>
      <c r="N25" s="85"/>
      <c r="O25" s="85"/>
      <c r="P25" s="85">
        <v>1</v>
      </c>
      <c r="Q25" s="85"/>
      <c r="R25" s="85"/>
      <c r="S25" s="85"/>
      <c r="T25" s="86">
        <v>1</v>
      </c>
      <c r="U25" s="181">
        <v>1</v>
      </c>
      <c r="V25" s="181"/>
      <c r="W25" s="181"/>
      <c r="X25" s="181"/>
      <c r="Y25" s="181"/>
      <c r="Z25" s="182"/>
    </row>
    <row r="26" spans="1:26" s="3" customFormat="1" ht="30" customHeight="1" x14ac:dyDescent="0.2">
      <c r="A26" s="17">
        <v>3</v>
      </c>
      <c r="B26" s="106">
        <v>12219</v>
      </c>
      <c r="C26" s="31" t="s">
        <v>168</v>
      </c>
      <c r="D26" s="32" t="s">
        <v>8</v>
      </c>
      <c r="E26" s="85"/>
      <c r="F26" s="85"/>
      <c r="G26" s="85"/>
      <c r="H26" s="86"/>
      <c r="I26" s="86"/>
      <c r="J26" s="86"/>
      <c r="K26" s="86"/>
      <c r="L26" s="86"/>
      <c r="M26" s="85"/>
      <c r="N26" s="85"/>
      <c r="O26" s="85"/>
      <c r="P26" s="85">
        <v>1</v>
      </c>
      <c r="Q26" s="85"/>
      <c r="R26" s="85"/>
      <c r="S26" s="85"/>
      <c r="T26" s="86">
        <v>1</v>
      </c>
      <c r="U26" s="181">
        <v>1</v>
      </c>
      <c r="V26" s="181"/>
      <c r="W26" s="181"/>
      <c r="X26" s="181"/>
      <c r="Y26" s="181"/>
      <c r="Z26" s="182"/>
    </row>
    <row r="27" spans="1:26" s="3" customFormat="1" ht="30" customHeight="1" x14ac:dyDescent="0.2">
      <c r="A27" s="17">
        <v>4</v>
      </c>
      <c r="B27" s="106">
        <v>12235</v>
      </c>
      <c r="C27" s="31" t="s">
        <v>100</v>
      </c>
      <c r="D27" s="32" t="s">
        <v>7</v>
      </c>
      <c r="E27" s="85"/>
      <c r="F27" s="85"/>
      <c r="G27" s="85"/>
      <c r="H27" s="86"/>
      <c r="I27" s="86"/>
      <c r="J27" s="86"/>
      <c r="K27" s="86"/>
      <c r="L27" s="86"/>
      <c r="M27" s="85"/>
      <c r="N27" s="85"/>
      <c r="O27" s="85"/>
      <c r="P27" s="85">
        <v>1</v>
      </c>
      <c r="Q27" s="85"/>
      <c r="R27" s="85"/>
      <c r="S27" s="85"/>
      <c r="T27" s="86">
        <v>1</v>
      </c>
      <c r="U27" s="181">
        <v>1</v>
      </c>
      <c r="V27" s="181"/>
      <c r="W27" s="181"/>
      <c r="X27" s="181"/>
      <c r="Y27" s="181"/>
      <c r="Z27" s="182"/>
    </row>
    <row r="28" spans="1:26" s="3" customFormat="1" ht="30" customHeight="1" x14ac:dyDescent="0.2">
      <c r="A28" s="17">
        <v>5</v>
      </c>
      <c r="B28" s="106">
        <v>12236</v>
      </c>
      <c r="C28" s="31" t="s">
        <v>170</v>
      </c>
      <c r="D28" s="32" t="s">
        <v>7</v>
      </c>
      <c r="E28" s="85"/>
      <c r="F28" s="85"/>
      <c r="G28" s="85"/>
      <c r="H28" s="86"/>
      <c r="I28" s="86"/>
      <c r="J28" s="86"/>
      <c r="K28" s="86"/>
      <c r="L28" s="86"/>
      <c r="M28" s="85"/>
      <c r="N28" s="85"/>
      <c r="O28" s="85"/>
      <c r="P28" s="85">
        <v>1</v>
      </c>
      <c r="Q28" s="85"/>
      <c r="R28" s="85"/>
      <c r="S28" s="85"/>
      <c r="T28" s="86">
        <v>1</v>
      </c>
      <c r="U28" s="181">
        <v>1</v>
      </c>
      <c r="V28" s="181"/>
      <c r="W28" s="181"/>
      <c r="X28" s="181"/>
      <c r="Y28" s="181"/>
      <c r="Z28" s="182"/>
    </row>
    <row r="29" spans="1:26" s="3" customFormat="1" ht="30" customHeight="1" x14ac:dyDescent="0.2">
      <c r="A29" s="17">
        <v>6</v>
      </c>
      <c r="B29" s="106">
        <v>12246</v>
      </c>
      <c r="C29" s="31" t="s">
        <v>171</v>
      </c>
      <c r="D29" s="32" t="s">
        <v>7</v>
      </c>
      <c r="E29" s="85"/>
      <c r="F29" s="85"/>
      <c r="G29" s="85"/>
      <c r="H29" s="86"/>
      <c r="I29" s="86"/>
      <c r="J29" s="86"/>
      <c r="K29" s="86"/>
      <c r="L29" s="86"/>
      <c r="M29" s="85"/>
      <c r="N29" s="85"/>
      <c r="O29" s="85"/>
      <c r="P29" s="85">
        <v>1</v>
      </c>
      <c r="Q29" s="85"/>
      <c r="R29" s="85"/>
      <c r="S29" s="85"/>
      <c r="T29" s="86">
        <v>1</v>
      </c>
      <c r="U29" s="181">
        <v>1</v>
      </c>
      <c r="V29" s="181"/>
      <c r="W29" s="181"/>
      <c r="X29" s="181"/>
      <c r="Y29" s="181"/>
      <c r="Z29" s="182"/>
    </row>
    <row r="30" spans="1:26" s="3" customFormat="1" ht="30" customHeight="1" x14ac:dyDescent="0.2">
      <c r="A30" s="17">
        <v>7</v>
      </c>
      <c r="B30" s="106">
        <v>12248</v>
      </c>
      <c r="C30" s="112" t="s">
        <v>172</v>
      </c>
      <c r="D30" s="32" t="s">
        <v>8</v>
      </c>
      <c r="E30" s="85"/>
      <c r="F30" s="85"/>
      <c r="G30" s="85"/>
      <c r="H30" s="86"/>
      <c r="I30" s="86"/>
      <c r="J30" s="86"/>
      <c r="K30" s="86"/>
      <c r="L30" s="86"/>
      <c r="M30" s="85"/>
      <c r="N30" s="85"/>
      <c r="O30" s="85"/>
      <c r="P30" s="85">
        <v>1</v>
      </c>
      <c r="Q30" s="85"/>
      <c r="R30" s="85"/>
      <c r="S30" s="85"/>
      <c r="T30" s="86">
        <v>1</v>
      </c>
      <c r="U30" s="181">
        <v>1</v>
      </c>
      <c r="V30" s="181"/>
      <c r="W30" s="181"/>
      <c r="X30" s="181"/>
      <c r="Y30" s="181"/>
      <c r="Z30" s="182"/>
    </row>
    <row r="31" spans="1:26" s="3" customFormat="1" ht="30" customHeight="1" x14ac:dyDescent="0.2">
      <c r="A31" s="17">
        <v>8</v>
      </c>
      <c r="B31" s="106">
        <v>12251</v>
      </c>
      <c r="C31" s="112" t="s">
        <v>173</v>
      </c>
      <c r="D31" s="32" t="s">
        <v>8</v>
      </c>
      <c r="E31" s="85"/>
      <c r="F31" s="85"/>
      <c r="G31" s="85"/>
      <c r="H31" s="86"/>
      <c r="I31" s="86"/>
      <c r="J31" s="86"/>
      <c r="K31" s="86"/>
      <c r="L31" s="86"/>
      <c r="M31" s="85"/>
      <c r="N31" s="85"/>
      <c r="O31" s="85"/>
      <c r="P31" s="85">
        <v>1</v>
      </c>
      <c r="Q31" s="85"/>
      <c r="R31" s="85"/>
      <c r="S31" s="85"/>
      <c r="T31" s="86">
        <v>1</v>
      </c>
      <c r="U31" s="181">
        <v>1</v>
      </c>
      <c r="V31" s="181"/>
      <c r="W31" s="181"/>
      <c r="X31" s="181"/>
      <c r="Y31" s="181"/>
      <c r="Z31" s="182"/>
    </row>
    <row r="32" spans="1:26" s="3" customFormat="1" ht="30" customHeight="1" x14ac:dyDescent="0.2">
      <c r="A32" s="17">
        <v>9</v>
      </c>
      <c r="B32" s="106">
        <v>12263</v>
      </c>
      <c r="C32" s="33" t="s">
        <v>174</v>
      </c>
      <c r="D32" s="34" t="s">
        <v>7</v>
      </c>
      <c r="E32" s="85"/>
      <c r="F32" s="85"/>
      <c r="G32" s="85"/>
      <c r="H32" s="86"/>
      <c r="I32" s="86"/>
      <c r="J32" s="86"/>
      <c r="K32" s="86"/>
      <c r="L32" s="86"/>
      <c r="M32" s="85"/>
      <c r="N32" s="85"/>
      <c r="O32" s="85"/>
      <c r="P32" s="85">
        <v>1</v>
      </c>
      <c r="Q32" s="85"/>
      <c r="R32" s="85"/>
      <c r="S32" s="85"/>
      <c r="T32" s="86">
        <v>1</v>
      </c>
      <c r="U32" s="181">
        <v>1</v>
      </c>
      <c r="V32" s="181"/>
      <c r="W32" s="181"/>
      <c r="X32" s="181"/>
      <c r="Y32" s="181"/>
      <c r="Z32" s="182"/>
    </row>
    <row r="33" spans="1:26" s="3" customFormat="1" ht="30" customHeight="1" x14ac:dyDescent="0.2">
      <c r="A33" s="17">
        <v>10</v>
      </c>
      <c r="B33" s="106">
        <v>12264</v>
      </c>
      <c r="C33" s="31" t="s">
        <v>101</v>
      </c>
      <c r="D33" s="32" t="s">
        <v>8</v>
      </c>
      <c r="E33" s="85"/>
      <c r="F33" s="85"/>
      <c r="G33" s="85"/>
      <c r="H33" s="86"/>
      <c r="I33" s="86"/>
      <c r="J33" s="86"/>
      <c r="K33" s="86"/>
      <c r="L33" s="86"/>
      <c r="M33" s="85"/>
      <c r="N33" s="85"/>
      <c r="O33" s="85"/>
      <c r="P33" s="85">
        <v>1</v>
      </c>
      <c r="Q33" s="85"/>
      <c r="R33" s="85"/>
      <c r="S33" s="85"/>
      <c r="T33" s="86">
        <v>1</v>
      </c>
      <c r="U33" s="181">
        <v>1</v>
      </c>
      <c r="V33" s="181"/>
      <c r="W33" s="181"/>
      <c r="X33" s="181"/>
      <c r="Y33" s="181"/>
      <c r="Z33" s="182"/>
    </row>
    <row r="34" spans="1:26" s="3" customFormat="1" ht="30" customHeight="1" x14ac:dyDescent="0.2">
      <c r="A34" s="17">
        <v>11</v>
      </c>
      <c r="B34" s="106">
        <v>12276</v>
      </c>
      <c r="C34" s="31" t="s">
        <v>175</v>
      </c>
      <c r="D34" s="32" t="s">
        <v>7</v>
      </c>
      <c r="E34" s="85"/>
      <c r="F34" s="85"/>
      <c r="G34" s="85"/>
      <c r="H34" s="86"/>
      <c r="I34" s="86"/>
      <c r="J34" s="86"/>
      <c r="K34" s="86"/>
      <c r="L34" s="86"/>
      <c r="M34" s="85"/>
      <c r="N34" s="85"/>
      <c r="O34" s="85"/>
      <c r="P34" s="85">
        <v>1</v>
      </c>
      <c r="Q34" s="85"/>
      <c r="R34" s="85"/>
      <c r="S34" s="85"/>
      <c r="T34" s="86">
        <v>1</v>
      </c>
      <c r="U34" s="181">
        <v>1</v>
      </c>
      <c r="V34" s="181"/>
      <c r="W34" s="181"/>
      <c r="X34" s="181"/>
      <c r="Y34" s="181"/>
      <c r="Z34" s="182"/>
    </row>
    <row r="35" spans="1:26" s="3" customFormat="1" ht="30" customHeight="1" x14ac:dyDescent="0.2">
      <c r="A35" s="17">
        <v>12</v>
      </c>
      <c r="B35" s="106">
        <v>12280</v>
      </c>
      <c r="C35" s="31" t="s">
        <v>176</v>
      </c>
      <c r="D35" s="32" t="s">
        <v>8</v>
      </c>
      <c r="E35" s="85"/>
      <c r="F35" s="85"/>
      <c r="G35" s="85"/>
      <c r="H35" s="86"/>
      <c r="I35" s="86"/>
      <c r="J35" s="86"/>
      <c r="K35" s="86"/>
      <c r="L35" s="86"/>
      <c r="M35" s="85"/>
      <c r="N35" s="85"/>
      <c r="O35" s="85"/>
      <c r="P35" s="85">
        <v>1</v>
      </c>
      <c r="Q35" s="85"/>
      <c r="R35" s="85"/>
      <c r="S35" s="85"/>
      <c r="T35" s="86">
        <v>1</v>
      </c>
      <c r="U35" s="181">
        <v>1</v>
      </c>
      <c r="V35" s="181"/>
      <c r="W35" s="181"/>
      <c r="X35" s="181"/>
      <c r="Y35" s="181"/>
      <c r="Z35" s="182"/>
    </row>
    <row r="36" spans="1:26" s="3" customFormat="1" ht="30" customHeight="1" x14ac:dyDescent="0.2">
      <c r="A36" s="17">
        <v>13</v>
      </c>
      <c r="B36" s="106">
        <v>12284</v>
      </c>
      <c r="C36" s="112" t="s">
        <v>177</v>
      </c>
      <c r="D36" s="32" t="s">
        <v>7</v>
      </c>
      <c r="E36" s="85"/>
      <c r="F36" s="85"/>
      <c r="G36" s="85"/>
      <c r="H36" s="86"/>
      <c r="I36" s="86"/>
      <c r="J36" s="86"/>
      <c r="K36" s="86"/>
      <c r="L36" s="86"/>
      <c r="M36" s="85"/>
      <c r="N36" s="85"/>
      <c r="O36" s="85"/>
      <c r="P36" s="85">
        <v>1</v>
      </c>
      <c r="Q36" s="85"/>
      <c r="R36" s="85"/>
      <c r="S36" s="85"/>
      <c r="T36" s="86">
        <v>1</v>
      </c>
      <c r="U36" s="181">
        <v>1</v>
      </c>
      <c r="V36" s="181"/>
      <c r="W36" s="181"/>
      <c r="X36" s="181"/>
      <c r="Y36" s="181"/>
      <c r="Z36" s="182"/>
    </row>
    <row r="37" spans="1:26" s="3" customFormat="1" ht="30" customHeight="1" x14ac:dyDescent="0.2">
      <c r="A37" s="17">
        <v>14</v>
      </c>
      <c r="B37" s="106">
        <v>12290</v>
      </c>
      <c r="C37" s="112" t="s">
        <v>105</v>
      </c>
      <c r="D37" s="32" t="s">
        <v>7</v>
      </c>
      <c r="E37" s="85"/>
      <c r="F37" s="85"/>
      <c r="G37" s="85"/>
      <c r="H37" s="86"/>
      <c r="I37" s="86"/>
      <c r="J37" s="86"/>
      <c r="K37" s="86"/>
      <c r="L37" s="86"/>
      <c r="M37" s="85"/>
      <c r="N37" s="85"/>
      <c r="O37" s="85"/>
      <c r="P37" s="85">
        <v>1</v>
      </c>
      <c r="Q37" s="85"/>
      <c r="R37" s="85"/>
      <c r="S37" s="85"/>
      <c r="T37" s="86">
        <v>1</v>
      </c>
      <c r="U37" s="181">
        <v>1</v>
      </c>
      <c r="V37" s="181"/>
      <c r="W37" s="181"/>
      <c r="X37" s="181"/>
      <c r="Y37" s="181"/>
      <c r="Z37" s="182"/>
    </row>
    <row r="38" spans="1:26" s="3" customFormat="1" ht="30" customHeight="1" x14ac:dyDescent="0.2">
      <c r="A38" s="17">
        <v>15</v>
      </c>
      <c r="B38" s="106">
        <v>12299</v>
      </c>
      <c r="C38" s="31" t="s">
        <v>107</v>
      </c>
      <c r="D38" s="32" t="s">
        <v>7</v>
      </c>
      <c r="E38" s="85"/>
      <c r="F38" s="85"/>
      <c r="G38" s="85"/>
      <c r="H38" s="86"/>
      <c r="I38" s="86"/>
      <c r="J38" s="86"/>
      <c r="K38" s="86"/>
      <c r="L38" s="86"/>
      <c r="M38" s="85"/>
      <c r="N38" s="85"/>
      <c r="O38" s="85"/>
      <c r="P38" s="85">
        <v>1</v>
      </c>
      <c r="Q38" s="85"/>
      <c r="R38" s="85"/>
      <c r="S38" s="85"/>
      <c r="T38" s="86">
        <v>1</v>
      </c>
      <c r="U38" s="181">
        <v>1</v>
      </c>
      <c r="V38" s="181"/>
      <c r="W38" s="181"/>
      <c r="X38" s="181"/>
      <c r="Y38" s="181"/>
      <c r="Z38" s="182"/>
    </row>
    <row r="39" spans="1:26" s="3" customFormat="1" ht="30" customHeight="1" x14ac:dyDescent="0.2">
      <c r="A39" s="17">
        <v>16</v>
      </c>
      <c r="B39" s="106">
        <v>12310</v>
      </c>
      <c r="C39" s="33" t="s">
        <v>110</v>
      </c>
      <c r="D39" s="34" t="s">
        <v>7</v>
      </c>
      <c r="E39" s="85"/>
      <c r="F39" s="85"/>
      <c r="G39" s="85"/>
      <c r="H39" s="86"/>
      <c r="I39" s="86"/>
      <c r="J39" s="86"/>
      <c r="K39" s="86"/>
      <c r="L39" s="86"/>
      <c r="M39" s="85"/>
      <c r="N39" s="85"/>
      <c r="O39" s="85"/>
      <c r="P39" s="85">
        <v>1</v>
      </c>
      <c r="Q39" s="85"/>
      <c r="R39" s="85"/>
      <c r="S39" s="85"/>
      <c r="T39" s="86">
        <v>1</v>
      </c>
      <c r="U39" s="181">
        <v>1</v>
      </c>
      <c r="V39" s="181"/>
      <c r="W39" s="181"/>
      <c r="X39" s="181"/>
      <c r="Y39" s="181"/>
      <c r="Z39" s="182"/>
    </row>
    <row r="40" spans="1:26" s="3" customFormat="1" ht="30" customHeight="1" x14ac:dyDescent="0.2">
      <c r="A40" s="17">
        <v>17</v>
      </c>
      <c r="B40" s="106">
        <v>12311</v>
      </c>
      <c r="C40" s="31" t="s">
        <v>179</v>
      </c>
      <c r="D40" s="32" t="s">
        <v>8</v>
      </c>
      <c r="E40" s="85"/>
      <c r="F40" s="85"/>
      <c r="G40" s="85"/>
      <c r="H40" s="86"/>
      <c r="I40" s="86"/>
      <c r="J40" s="86"/>
      <c r="K40" s="86"/>
      <c r="L40" s="86"/>
      <c r="M40" s="85"/>
      <c r="N40" s="85"/>
      <c r="O40" s="85"/>
      <c r="P40" s="85">
        <v>1</v>
      </c>
      <c r="Q40" s="85"/>
      <c r="R40" s="85"/>
      <c r="S40" s="85"/>
      <c r="T40" s="86">
        <v>1</v>
      </c>
      <c r="U40" s="181">
        <v>1</v>
      </c>
      <c r="V40" s="181"/>
      <c r="W40" s="181"/>
      <c r="X40" s="181"/>
      <c r="Y40" s="181"/>
      <c r="Z40" s="182"/>
    </row>
    <row r="41" spans="1:26" s="3" customFormat="1" ht="30" customHeight="1" x14ac:dyDescent="0.2">
      <c r="A41" s="17">
        <v>18</v>
      </c>
      <c r="B41" s="106">
        <v>12313</v>
      </c>
      <c r="C41" s="31" t="s">
        <v>180</v>
      </c>
      <c r="D41" s="32" t="s">
        <v>7</v>
      </c>
      <c r="E41" s="85"/>
      <c r="F41" s="85"/>
      <c r="G41" s="85"/>
      <c r="H41" s="86"/>
      <c r="I41" s="86"/>
      <c r="J41" s="86"/>
      <c r="K41" s="86"/>
      <c r="L41" s="86"/>
      <c r="M41" s="85"/>
      <c r="N41" s="85"/>
      <c r="O41" s="85"/>
      <c r="P41" s="85">
        <v>1</v>
      </c>
      <c r="Q41" s="85"/>
      <c r="R41" s="85"/>
      <c r="S41" s="85"/>
      <c r="T41" s="86">
        <v>1</v>
      </c>
      <c r="U41" s="181">
        <v>1</v>
      </c>
      <c r="V41" s="181"/>
      <c r="W41" s="181"/>
      <c r="X41" s="181"/>
      <c r="Y41" s="181"/>
      <c r="Z41" s="182"/>
    </row>
    <row r="42" spans="1:26" s="3" customFormat="1" ht="30" customHeight="1" x14ac:dyDescent="0.2">
      <c r="A42" s="17">
        <v>19</v>
      </c>
      <c r="B42" s="106">
        <v>12317</v>
      </c>
      <c r="C42" s="31" t="s">
        <v>111</v>
      </c>
      <c r="D42" s="32" t="s">
        <v>7</v>
      </c>
      <c r="E42" s="85"/>
      <c r="F42" s="85"/>
      <c r="G42" s="85"/>
      <c r="H42" s="86"/>
      <c r="I42" s="86"/>
      <c r="J42" s="86"/>
      <c r="K42" s="86"/>
      <c r="L42" s="86"/>
      <c r="M42" s="85"/>
      <c r="N42" s="85"/>
      <c r="O42" s="85"/>
      <c r="P42" s="85">
        <v>1</v>
      </c>
      <c r="Q42" s="85"/>
      <c r="R42" s="85"/>
      <c r="S42" s="85"/>
      <c r="T42" s="86">
        <v>1</v>
      </c>
      <c r="U42" s="181">
        <v>1</v>
      </c>
      <c r="V42" s="181"/>
      <c r="W42" s="181"/>
      <c r="X42" s="181"/>
      <c r="Y42" s="181"/>
      <c r="Z42" s="182"/>
    </row>
    <row r="43" spans="1:26" s="3" customFormat="1" ht="30" customHeight="1" x14ac:dyDescent="0.2">
      <c r="A43" s="17">
        <v>20</v>
      </c>
      <c r="B43" s="106">
        <v>12320</v>
      </c>
      <c r="C43" s="31" t="s">
        <v>114</v>
      </c>
      <c r="D43" s="32" t="s">
        <v>7</v>
      </c>
      <c r="E43" s="85"/>
      <c r="F43" s="85"/>
      <c r="G43" s="85"/>
      <c r="H43" s="86"/>
      <c r="I43" s="86"/>
      <c r="J43" s="86"/>
      <c r="K43" s="86"/>
      <c r="L43" s="86"/>
      <c r="M43" s="85"/>
      <c r="N43" s="85"/>
      <c r="O43" s="85"/>
      <c r="P43" s="85">
        <v>1</v>
      </c>
      <c r="Q43" s="85"/>
      <c r="R43" s="85"/>
      <c r="S43" s="85"/>
      <c r="T43" s="86">
        <v>1</v>
      </c>
      <c r="U43" s="181">
        <v>1</v>
      </c>
      <c r="V43" s="181"/>
      <c r="W43" s="181"/>
      <c r="X43" s="181"/>
      <c r="Y43" s="181"/>
      <c r="Z43" s="182"/>
    </row>
    <row r="44" spans="1:26" s="3" customFormat="1" ht="30" customHeight="1" x14ac:dyDescent="0.2">
      <c r="A44" s="17">
        <v>21</v>
      </c>
      <c r="B44" s="106">
        <v>12326</v>
      </c>
      <c r="C44" s="33" t="s">
        <v>117</v>
      </c>
      <c r="D44" s="34" t="s">
        <v>7</v>
      </c>
      <c r="E44" s="85"/>
      <c r="F44" s="85"/>
      <c r="G44" s="85"/>
      <c r="H44" s="86"/>
      <c r="I44" s="86"/>
      <c r="J44" s="86"/>
      <c r="K44" s="86"/>
      <c r="L44" s="86"/>
      <c r="M44" s="85"/>
      <c r="N44" s="85"/>
      <c r="O44" s="85"/>
      <c r="P44" s="85"/>
      <c r="Q44" s="85"/>
      <c r="R44" s="85"/>
      <c r="S44" s="85"/>
      <c r="T44" s="86"/>
      <c r="U44" s="181">
        <v>1</v>
      </c>
      <c r="V44" s="181"/>
      <c r="W44" s="181"/>
      <c r="X44" s="181"/>
      <c r="Y44" s="181"/>
      <c r="Z44" s="182"/>
    </row>
    <row r="45" spans="1:26" s="3" customFormat="1" ht="30" customHeight="1" x14ac:dyDescent="0.2">
      <c r="A45" s="17">
        <v>22</v>
      </c>
      <c r="B45" s="106">
        <v>12330</v>
      </c>
      <c r="C45" s="31" t="s">
        <v>181</v>
      </c>
      <c r="D45" s="32" t="s">
        <v>8</v>
      </c>
      <c r="E45" s="85"/>
      <c r="F45" s="85"/>
      <c r="G45" s="85"/>
      <c r="H45" s="86"/>
      <c r="I45" s="86"/>
      <c r="J45" s="86"/>
      <c r="K45" s="86"/>
      <c r="L45" s="86"/>
      <c r="M45" s="85"/>
      <c r="N45" s="85"/>
      <c r="O45" s="85"/>
      <c r="P45" s="85"/>
      <c r="Q45" s="85"/>
      <c r="R45" s="85"/>
      <c r="S45" s="85"/>
      <c r="T45" s="86"/>
      <c r="U45" s="181">
        <v>1</v>
      </c>
      <c r="V45" s="181"/>
      <c r="W45" s="181"/>
      <c r="X45" s="181"/>
      <c r="Y45" s="181"/>
      <c r="Z45" s="182"/>
    </row>
    <row r="46" spans="1:26" s="4" customFormat="1" ht="30" customHeight="1" x14ac:dyDescent="0.2">
      <c r="A46" s="17">
        <v>23</v>
      </c>
      <c r="B46" s="106">
        <v>12335</v>
      </c>
      <c r="C46" s="31" t="s">
        <v>118</v>
      </c>
      <c r="D46" s="32" t="s">
        <v>7</v>
      </c>
      <c r="E46" s="85"/>
      <c r="F46" s="85"/>
      <c r="G46" s="85"/>
      <c r="H46" s="86"/>
      <c r="I46" s="86"/>
      <c r="J46" s="86"/>
      <c r="K46" s="86"/>
      <c r="L46" s="86"/>
      <c r="M46" s="85"/>
      <c r="N46" s="85"/>
      <c r="O46" s="85"/>
      <c r="P46" s="85"/>
      <c r="Q46" s="85"/>
      <c r="R46" s="85"/>
      <c r="S46" s="85"/>
      <c r="T46" s="86"/>
      <c r="U46" s="87"/>
      <c r="V46" s="88"/>
      <c r="W46" s="88"/>
      <c r="X46" s="88"/>
      <c r="Y46" s="88"/>
      <c r="Z46" s="100"/>
    </row>
    <row r="47" spans="1:26" s="4" customFormat="1" ht="30" customHeight="1" x14ac:dyDescent="0.2">
      <c r="A47" s="17">
        <v>24</v>
      </c>
      <c r="B47" s="106">
        <v>12346</v>
      </c>
      <c r="C47" s="31" t="s">
        <v>185</v>
      </c>
      <c r="D47" s="32" t="s">
        <v>8</v>
      </c>
      <c r="E47" s="85"/>
      <c r="F47" s="85"/>
      <c r="G47" s="85"/>
      <c r="H47" s="86"/>
      <c r="I47" s="86"/>
      <c r="J47" s="86"/>
      <c r="K47" s="86"/>
      <c r="L47" s="86"/>
      <c r="M47" s="85"/>
      <c r="N47" s="85"/>
      <c r="O47" s="85"/>
      <c r="P47" s="85"/>
      <c r="Q47" s="85"/>
      <c r="R47" s="85"/>
      <c r="S47" s="85"/>
      <c r="T47" s="86"/>
      <c r="U47" s="87"/>
      <c r="V47" s="88"/>
      <c r="W47" s="88"/>
      <c r="X47" s="88"/>
      <c r="Y47" s="88"/>
      <c r="Z47" s="100"/>
    </row>
    <row r="48" spans="1:26" s="4" customFormat="1" ht="30" customHeight="1" x14ac:dyDescent="0.2">
      <c r="A48" s="17">
        <v>25</v>
      </c>
      <c r="B48" s="106">
        <v>12354</v>
      </c>
      <c r="C48" s="31" t="s">
        <v>188</v>
      </c>
      <c r="D48" s="32" t="s">
        <v>7</v>
      </c>
      <c r="E48" s="85"/>
      <c r="F48" s="85"/>
      <c r="G48" s="85"/>
      <c r="H48" s="86"/>
      <c r="I48" s="86"/>
      <c r="J48" s="86"/>
      <c r="K48" s="86"/>
      <c r="L48" s="86"/>
      <c r="M48" s="85"/>
      <c r="N48" s="85"/>
      <c r="O48" s="85"/>
      <c r="P48" s="85"/>
      <c r="Q48" s="85"/>
      <c r="R48" s="85"/>
      <c r="S48" s="85"/>
      <c r="T48" s="86"/>
      <c r="U48" s="87"/>
      <c r="V48" s="88"/>
      <c r="W48" s="88"/>
      <c r="X48" s="88"/>
      <c r="Y48" s="88"/>
      <c r="Z48" s="100"/>
    </row>
    <row r="49" spans="1:26" s="4" customFormat="1" ht="30" customHeight="1" x14ac:dyDescent="0.2">
      <c r="A49" s="17">
        <v>26</v>
      </c>
      <c r="B49" s="106">
        <v>12365</v>
      </c>
      <c r="C49" s="31" t="s">
        <v>189</v>
      </c>
      <c r="D49" s="32" t="s">
        <v>7</v>
      </c>
      <c r="E49" s="85"/>
      <c r="F49" s="85"/>
      <c r="G49" s="85"/>
      <c r="H49" s="86"/>
      <c r="I49" s="86"/>
      <c r="J49" s="86"/>
      <c r="K49" s="86"/>
      <c r="L49" s="86"/>
      <c r="M49" s="85"/>
      <c r="N49" s="85"/>
      <c r="O49" s="85"/>
      <c r="P49" s="85"/>
      <c r="Q49" s="85"/>
      <c r="R49" s="85"/>
      <c r="S49" s="85"/>
      <c r="T49" s="86"/>
      <c r="U49" s="87"/>
      <c r="V49" s="88"/>
      <c r="W49" s="88"/>
      <c r="X49" s="88"/>
      <c r="Y49" s="88"/>
      <c r="Z49" s="100"/>
    </row>
    <row r="50" spans="1:26" s="4" customFormat="1" ht="30" customHeight="1" x14ac:dyDescent="0.2">
      <c r="A50" s="17">
        <v>27</v>
      </c>
      <c r="B50" s="106">
        <v>12371</v>
      </c>
      <c r="C50" s="112" t="s">
        <v>190</v>
      </c>
      <c r="D50" s="32" t="s">
        <v>7</v>
      </c>
      <c r="E50" s="85"/>
      <c r="F50" s="85"/>
      <c r="G50" s="85"/>
      <c r="H50" s="86"/>
      <c r="I50" s="86"/>
      <c r="J50" s="86"/>
      <c r="K50" s="86"/>
      <c r="L50" s="86"/>
      <c r="M50" s="85"/>
      <c r="N50" s="85"/>
      <c r="O50" s="85"/>
      <c r="P50" s="85"/>
      <c r="Q50" s="85"/>
      <c r="R50" s="85"/>
      <c r="S50" s="85"/>
      <c r="T50" s="86"/>
      <c r="U50" s="87"/>
      <c r="V50" s="88"/>
      <c r="W50" s="88"/>
      <c r="X50" s="88"/>
      <c r="Y50" s="88"/>
      <c r="Z50" s="100"/>
    </row>
    <row r="51" spans="1:26" s="4" customFormat="1" ht="30" customHeight="1" x14ac:dyDescent="0.2">
      <c r="A51" s="17">
        <v>28</v>
      </c>
      <c r="B51" s="106">
        <v>12384</v>
      </c>
      <c r="C51" s="33" t="s">
        <v>191</v>
      </c>
      <c r="D51" s="34" t="s">
        <v>8</v>
      </c>
      <c r="E51" s="85"/>
      <c r="F51" s="85"/>
      <c r="G51" s="85"/>
      <c r="H51" s="86"/>
      <c r="I51" s="86"/>
      <c r="J51" s="86"/>
      <c r="K51" s="86"/>
      <c r="L51" s="86"/>
      <c r="M51" s="85"/>
      <c r="N51" s="85"/>
      <c r="O51" s="85"/>
      <c r="P51" s="85"/>
      <c r="Q51" s="85"/>
      <c r="R51" s="85"/>
      <c r="S51" s="85"/>
      <c r="T51" s="86"/>
      <c r="U51" s="87"/>
      <c r="V51" s="88"/>
      <c r="W51" s="88"/>
      <c r="X51" s="88"/>
      <c r="Y51" s="88"/>
      <c r="Z51" s="100"/>
    </row>
    <row r="52" spans="1:26" s="4" customFormat="1" ht="30" customHeight="1" x14ac:dyDescent="0.2">
      <c r="A52" s="17">
        <v>29</v>
      </c>
      <c r="B52" s="106">
        <v>12402</v>
      </c>
      <c r="C52" s="31" t="s">
        <v>193</v>
      </c>
      <c r="D52" s="32" t="s">
        <v>8</v>
      </c>
      <c r="E52" s="85"/>
      <c r="F52" s="85"/>
      <c r="G52" s="85"/>
      <c r="H52" s="86"/>
      <c r="I52" s="86"/>
      <c r="J52" s="86"/>
      <c r="K52" s="86"/>
      <c r="L52" s="86"/>
      <c r="M52" s="85"/>
      <c r="N52" s="85"/>
      <c r="O52" s="85"/>
      <c r="P52" s="85"/>
      <c r="Q52" s="85"/>
      <c r="R52" s="85"/>
      <c r="S52" s="85"/>
      <c r="T52" s="86"/>
      <c r="U52" s="87"/>
      <c r="V52" s="88"/>
      <c r="W52" s="88"/>
      <c r="X52" s="88"/>
      <c r="Y52" s="88"/>
      <c r="Z52" s="100"/>
    </row>
    <row r="53" spans="1:26" s="4" customFormat="1" ht="30" customHeight="1" x14ac:dyDescent="0.2">
      <c r="A53" s="17">
        <v>30</v>
      </c>
      <c r="B53" s="106">
        <v>12418</v>
      </c>
      <c r="C53" s="31" t="s">
        <v>194</v>
      </c>
      <c r="D53" s="32" t="s">
        <v>7</v>
      </c>
      <c r="E53" s="85"/>
      <c r="F53" s="85"/>
      <c r="G53" s="85"/>
      <c r="H53" s="86"/>
      <c r="I53" s="86"/>
      <c r="J53" s="86"/>
      <c r="K53" s="86"/>
      <c r="L53" s="86"/>
      <c r="M53" s="85"/>
      <c r="N53" s="85"/>
      <c r="O53" s="85"/>
      <c r="P53" s="85"/>
      <c r="Q53" s="85"/>
      <c r="R53" s="85"/>
      <c r="S53" s="85"/>
      <c r="T53" s="86"/>
      <c r="U53" s="87"/>
      <c r="V53" s="88"/>
      <c r="W53" s="88"/>
      <c r="X53" s="88"/>
      <c r="Y53" s="88"/>
      <c r="Z53" s="100"/>
    </row>
    <row r="54" spans="1:26" s="4" customFormat="1" ht="30" customHeight="1" x14ac:dyDescent="0.2">
      <c r="A54" s="17">
        <v>31</v>
      </c>
      <c r="B54" s="106">
        <v>12437</v>
      </c>
      <c r="C54" s="31" t="s">
        <v>197</v>
      </c>
      <c r="D54" s="32" t="s">
        <v>7</v>
      </c>
      <c r="E54" s="85"/>
      <c r="F54" s="85"/>
      <c r="G54" s="85"/>
      <c r="H54" s="86"/>
      <c r="I54" s="86"/>
      <c r="J54" s="86"/>
      <c r="K54" s="86"/>
      <c r="L54" s="86"/>
      <c r="M54" s="85"/>
      <c r="N54" s="85"/>
      <c r="O54" s="85"/>
      <c r="P54" s="85"/>
      <c r="Q54" s="85"/>
      <c r="R54" s="85"/>
      <c r="S54" s="85"/>
      <c r="T54" s="86"/>
      <c r="U54" s="87"/>
      <c r="V54" s="88"/>
      <c r="W54" s="88"/>
      <c r="X54" s="88"/>
      <c r="Y54" s="88"/>
      <c r="Z54" s="100"/>
    </row>
    <row r="55" spans="1:26" s="4" customFormat="1" ht="30" customHeight="1" x14ac:dyDescent="0.2">
      <c r="A55" s="17">
        <v>32</v>
      </c>
      <c r="B55" s="106">
        <v>12442</v>
      </c>
      <c r="C55" s="31" t="s">
        <v>126</v>
      </c>
      <c r="D55" s="32" t="s">
        <v>7</v>
      </c>
      <c r="E55" s="85"/>
      <c r="F55" s="85"/>
      <c r="G55" s="85"/>
      <c r="H55" s="86"/>
      <c r="I55" s="86"/>
      <c r="J55" s="86"/>
      <c r="K55" s="86"/>
      <c r="L55" s="86"/>
      <c r="M55" s="85"/>
      <c r="N55" s="85"/>
      <c r="O55" s="85"/>
      <c r="P55" s="85">
        <v>1</v>
      </c>
      <c r="Q55" s="85"/>
      <c r="R55" s="85"/>
      <c r="S55" s="85"/>
      <c r="T55" s="86">
        <v>1</v>
      </c>
      <c r="U55" s="87"/>
      <c r="V55" s="88"/>
      <c r="W55" s="88"/>
      <c r="X55" s="88"/>
      <c r="Y55" s="88"/>
      <c r="Z55" s="100"/>
    </row>
    <row r="56" spans="1:26" s="4" customFormat="1" ht="30" customHeight="1" x14ac:dyDescent="0.2">
      <c r="A56" s="17">
        <v>33</v>
      </c>
      <c r="B56" s="106">
        <v>12448</v>
      </c>
      <c r="C56" s="31" t="s">
        <v>198</v>
      </c>
      <c r="D56" s="32" t="s">
        <v>8</v>
      </c>
      <c r="E56" s="85"/>
      <c r="F56" s="85"/>
      <c r="G56" s="85"/>
      <c r="H56" s="86"/>
      <c r="I56" s="86"/>
      <c r="J56" s="86"/>
      <c r="K56" s="86"/>
      <c r="L56" s="86"/>
      <c r="M56" s="85"/>
      <c r="N56" s="85"/>
      <c r="O56" s="85"/>
      <c r="P56" s="86"/>
      <c r="Q56" s="86"/>
      <c r="R56" s="86"/>
      <c r="S56" s="86"/>
      <c r="T56" s="86"/>
      <c r="U56" s="87"/>
      <c r="V56" s="88"/>
      <c r="W56" s="88"/>
      <c r="X56" s="88"/>
      <c r="Y56" s="88"/>
      <c r="Z56" s="100"/>
    </row>
    <row r="57" spans="1:26" s="94" customFormat="1" ht="30" customHeight="1" x14ac:dyDescent="0.2">
      <c r="A57" s="54"/>
      <c r="B57" s="55"/>
      <c r="C57" s="45" t="s">
        <v>9</v>
      </c>
      <c r="D57" s="70">
        <f>COUNTIF(D24:D56,"L")</f>
        <v>21</v>
      </c>
      <c r="E57" s="90"/>
      <c r="F57" s="91"/>
      <c r="G57" s="91"/>
      <c r="H57" s="92"/>
      <c r="I57" s="92"/>
      <c r="J57" s="92"/>
      <c r="K57" s="92"/>
      <c r="L57" s="92"/>
      <c r="M57" s="91"/>
      <c r="N57" s="91"/>
      <c r="O57" s="91"/>
      <c r="P57" s="92"/>
      <c r="Q57" s="92"/>
      <c r="R57" s="92"/>
      <c r="S57" s="92"/>
      <c r="T57" s="92"/>
      <c r="U57" s="93"/>
      <c r="V57" s="93"/>
      <c r="W57" s="93"/>
      <c r="X57" s="93"/>
      <c r="Y57" s="93"/>
      <c r="Z57" s="93"/>
    </row>
    <row r="58" spans="1:26" s="94" customFormat="1" ht="30" customHeight="1" x14ac:dyDescent="0.2">
      <c r="A58" s="54"/>
      <c r="B58" s="54"/>
      <c r="C58" s="45" t="s">
        <v>10</v>
      </c>
      <c r="D58" s="37">
        <f>COUNTIF(D24:D56,"P")</f>
        <v>12</v>
      </c>
      <c r="E58" s="95"/>
      <c r="F58" s="96"/>
      <c r="G58" s="96"/>
      <c r="H58" s="97"/>
      <c r="I58" s="97"/>
      <c r="J58" s="97"/>
      <c r="K58" s="97"/>
      <c r="L58" s="97"/>
      <c r="M58" s="96"/>
      <c r="N58" s="96"/>
      <c r="O58" s="96"/>
      <c r="P58" s="97"/>
      <c r="Q58" s="97"/>
      <c r="R58" s="97"/>
      <c r="S58" s="97"/>
      <c r="T58" s="97"/>
      <c r="U58" s="93"/>
      <c r="V58" s="93"/>
      <c r="W58" s="93"/>
      <c r="X58" s="93"/>
      <c r="Y58" s="93"/>
      <c r="Z58" s="93"/>
    </row>
    <row r="59" spans="1:26" s="3" customFormat="1" ht="30" customHeight="1" x14ac:dyDescent="0.2">
      <c r="A59" s="58"/>
      <c r="B59" s="58"/>
      <c r="C59" s="46" t="s">
        <v>11</v>
      </c>
      <c r="D59" s="47">
        <f>SUM(D57:D58)</f>
        <v>33</v>
      </c>
      <c r="E59" s="98"/>
      <c r="F59" s="16"/>
      <c r="G59" s="16"/>
      <c r="H59" s="16"/>
      <c r="I59" s="16"/>
      <c r="J59" s="16"/>
      <c r="K59" s="16"/>
      <c r="L59" s="16"/>
      <c r="M59" s="16"/>
      <c r="N59" s="99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7.45" customHeight="1" x14ac:dyDescent="0.25">
      <c r="A60" s="2"/>
      <c r="B60" s="2"/>
      <c r="C60" s="183" t="s">
        <v>12</v>
      </c>
      <c r="D60" s="183"/>
      <c r="E60" s="12"/>
      <c r="F60" s="2"/>
      <c r="G60" s="2"/>
      <c r="H60" s="2"/>
      <c r="I60" s="2"/>
      <c r="J60" s="2"/>
      <c r="K60" s="2"/>
      <c r="L60" s="2"/>
      <c r="M60" s="2"/>
      <c r="N60" s="1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45" customHeight="1" x14ac:dyDescent="0.25">
      <c r="A61" s="2"/>
      <c r="B61" s="2"/>
      <c r="E61" s="12"/>
      <c r="F61" s="2"/>
      <c r="G61" s="2"/>
      <c r="H61" s="2"/>
      <c r="I61" s="2"/>
      <c r="J61" s="2"/>
      <c r="K61" s="2"/>
      <c r="L61" s="2"/>
      <c r="M61" s="2"/>
      <c r="N61" s="1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45" customHeight="1" x14ac:dyDescent="0.25">
      <c r="A62" s="2"/>
      <c r="B62" s="2"/>
      <c r="E62" s="12"/>
      <c r="F62" s="2"/>
      <c r="G62" s="2"/>
      <c r="H62" s="2"/>
      <c r="I62" s="2"/>
      <c r="J62" s="2"/>
      <c r="K62" s="2"/>
      <c r="L62" s="2"/>
      <c r="M62" s="2"/>
      <c r="N62" s="1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45" customHeight="1" x14ac:dyDescent="0.25">
      <c r="A63" s="2"/>
      <c r="B63" s="2"/>
      <c r="C63" s="13"/>
      <c r="D63" s="13"/>
      <c r="E63" s="12"/>
      <c r="F63" s="2"/>
      <c r="G63" s="2"/>
      <c r="H63" s="2"/>
      <c r="I63" s="2"/>
      <c r="J63" s="2"/>
      <c r="K63" s="2"/>
      <c r="L63" s="2"/>
      <c r="M63" s="2"/>
      <c r="N63" s="1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45" customHeight="1" x14ac:dyDescent="0.2">
      <c r="A64" s="2"/>
      <c r="B64" s="2"/>
      <c r="C64" s="15"/>
      <c r="D64" s="1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s="4" customFormat="1" ht="30" customHeight="1" x14ac:dyDescent="0.2">
      <c r="A65" s="17">
        <v>31</v>
      </c>
      <c r="B65" s="106">
        <v>12429</v>
      </c>
      <c r="C65" s="123" t="s">
        <v>195</v>
      </c>
      <c r="D65" s="32" t="s">
        <v>7</v>
      </c>
      <c r="E65" s="85"/>
      <c r="F65" s="85"/>
      <c r="G65" s="85"/>
      <c r="H65" s="86"/>
      <c r="I65" s="86"/>
      <c r="J65" s="86"/>
      <c r="K65" s="86"/>
      <c r="L65" s="86"/>
      <c r="M65" s="85"/>
      <c r="N65" s="85"/>
      <c r="O65" s="85"/>
      <c r="P65" s="85"/>
      <c r="Q65" s="85"/>
      <c r="R65" s="85"/>
      <c r="S65" s="85"/>
      <c r="T65" s="86"/>
      <c r="U65" s="87"/>
      <c r="V65" s="88"/>
      <c r="W65" s="88"/>
      <c r="X65" s="88"/>
      <c r="Y65" s="88"/>
      <c r="Z65" s="100"/>
    </row>
    <row r="66" spans="1:26" ht="17.25" x14ac:dyDescent="0.3">
      <c r="C66" s="5"/>
      <c r="D66" s="5"/>
    </row>
    <row r="67" spans="1:26" ht="17.25" x14ac:dyDescent="0.3">
      <c r="C67" s="5"/>
      <c r="D67" s="5"/>
    </row>
    <row r="68" spans="1:26" ht="17.25" x14ac:dyDescent="0.3">
      <c r="C68" s="5"/>
      <c r="D68" s="5"/>
    </row>
    <row r="69" spans="1:26" ht="12.75" customHeight="1" x14ac:dyDescent="0.3">
      <c r="C69" s="5"/>
      <c r="D69" s="5"/>
    </row>
    <row r="70" spans="1:26" ht="17.25" x14ac:dyDescent="0.3">
      <c r="C70" s="5"/>
      <c r="D70" s="5"/>
    </row>
    <row r="71" spans="1:26" ht="14.25" customHeight="1" x14ac:dyDescent="0.3">
      <c r="C71" s="5"/>
      <c r="D71" s="5"/>
    </row>
    <row r="72" spans="1:26" ht="12.75" customHeight="1" x14ac:dyDescent="0.3">
      <c r="C72" s="5"/>
      <c r="D72" s="5"/>
    </row>
    <row r="73" spans="1:26" ht="12.75" customHeight="1" x14ac:dyDescent="0.3">
      <c r="C73" s="5"/>
      <c r="D73" s="5"/>
    </row>
  </sheetData>
  <sheetProtection selectLockedCells="1" selectUnlockedCells="1"/>
  <mergeCells count="34">
    <mergeCell ref="A14:Z14"/>
    <mergeCell ref="A15:Z15"/>
    <mergeCell ref="L17:O17"/>
    <mergeCell ref="L18:O18"/>
    <mergeCell ref="A20:A23"/>
    <mergeCell ref="B20:B23"/>
    <mergeCell ref="C20:C23"/>
    <mergeCell ref="D20:D23"/>
    <mergeCell ref="E20:T20"/>
    <mergeCell ref="U33:Z33"/>
    <mergeCell ref="U20:Z23"/>
    <mergeCell ref="E21:T22"/>
    <mergeCell ref="U24:Z24"/>
    <mergeCell ref="U25:Z25"/>
    <mergeCell ref="U26:Z26"/>
    <mergeCell ref="U27:Z27"/>
    <mergeCell ref="U28:Z28"/>
    <mergeCell ref="U29:Z29"/>
    <mergeCell ref="U30:Z30"/>
    <mergeCell ref="U31:Z31"/>
    <mergeCell ref="U32:Z32"/>
    <mergeCell ref="U34:Z34"/>
    <mergeCell ref="U35:Z35"/>
    <mergeCell ref="U36:Z36"/>
    <mergeCell ref="U37:Z37"/>
    <mergeCell ref="U38:Z38"/>
    <mergeCell ref="U45:Z45"/>
    <mergeCell ref="C60:D60"/>
    <mergeCell ref="U39:Z39"/>
    <mergeCell ref="U40:Z40"/>
    <mergeCell ref="U41:Z41"/>
    <mergeCell ref="U42:Z42"/>
    <mergeCell ref="U43:Z43"/>
    <mergeCell ref="U44:Z44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view="pageBreakPreview" topLeftCell="A46" zoomScale="85" zoomScaleNormal="75" zoomScaleSheetLayoutView="85" workbookViewId="0">
      <selection activeCell="C31" sqref="C31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7.100000000000001" customHeight="1" x14ac:dyDescent="0.2"/>
    <row r="14" spans="1:26" ht="20.100000000000001" customHeight="1" x14ac:dyDescent="0.2">
      <c r="A14" s="147" t="s">
        <v>13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0.100000000000001" customHeight="1" x14ac:dyDescent="0.2">
      <c r="A15" s="147" t="s">
        <v>29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12.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100000000000001" customHeight="1" x14ac:dyDescent="0.25">
      <c r="A17" s="38"/>
      <c r="B17" s="38"/>
      <c r="C17" s="38"/>
      <c r="D17" s="38"/>
      <c r="E17" s="110"/>
      <c r="F17" s="110"/>
      <c r="G17" s="110"/>
      <c r="H17" s="39"/>
      <c r="I17" s="39"/>
      <c r="J17" s="38"/>
      <c r="K17" s="38"/>
      <c r="L17" s="187" t="s">
        <v>0</v>
      </c>
      <c r="M17" s="187"/>
      <c r="N17" s="187"/>
      <c r="O17" s="187"/>
      <c r="P17" s="43" t="s">
        <v>26</v>
      </c>
      <c r="Q17" s="43"/>
      <c r="R17" s="39"/>
      <c r="S17" s="39"/>
      <c r="T17" s="39"/>
      <c r="U17" s="63"/>
      <c r="V17" s="39"/>
      <c r="W17" s="39"/>
      <c r="X17" s="39"/>
      <c r="Y17" s="39"/>
      <c r="Z17" s="39"/>
    </row>
    <row r="18" spans="1:26" ht="17.100000000000001" customHeight="1" x14ac:dyDescent="0.25">
      <c r="A18" s="64" t="s">
        <v>20</v>
      </c>
      <c r="B18" s="38"/>
      <c r="C18" s="38"/>
      <c r="D18" s="38"/>
      <c r="E18" s="110"/>
      <c r="F18" s="110"/>
      <c r="G18" s="110"/>
      <c r="H18" s="39"/>
      <c r="I18" s="39"/>
      <c r="J18" s="38"/>
      <c r="K18" s="38"/>
      <c r="L18" s="187" t="s">
        <v>1</v>
      </c>
      <c r="M18" s="187"/>
      <c r="N18" s="187"/>
      <c r="O18" s="187"/>
      <c r="P18" s="43" t="s">
        <v>313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2.6" customHeight="1" x14ac:dyDescent="0.2">
      <c r="M19" s="2"/>
    </row>
    <row r="20" spans="1:26" ht="20.100000000000001" customHeight="1" x14ac:dyDescent="0.2">
      <c r="A20" s="151" t="s">
        <v>2</v>
      </c>
      <c r="B20" s="151" t="s">
        <v>3</v>
      </c>
      <c r="C20" s="151" t="s">
        <v>4</v>
      </c>
      <c r="D20" s="151" t="s">
        <v>5</v>
      </c>
      <c r="E20" s="156" t="s">
        <v>6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2" t="s">
        <v>14</v>
      </c>
      <c r="V20" s="153"/>
      <c r="W20" s="153"/>
      <c r="X20" s="153"/>
      <c r="Y20" s="153"/>
      <c r="Z20" s="184"/>
    </row>
    <row r="21" spans="1:26" ht="12.6" customHeight="1" x14ac:dyDescent="0.2">
      <c r="A21" s="151"/>
      <c r="B21" s="151"/>
      <c r="C21" s="151"/>
      <c r="D21" s="151"/>
      <c r="E21" s="152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64"/>
      <c r="V21" s="165"/>
      <c r="W21" s="165"/>
      <c r="X21" s="165"/>
      <c r="Y21" s="165"/>
      <c r="Z21" s="185"/>
    </row>
    <row r="22" spans="1:26" ht="12.6" customHeight="1" x14ac:dyDescent="0.2">
      <c r="A22" s="151"/>
      <c r="B22" s="151"/>
      <c r="C22" s="151"/>
      <c r="D22" s="151"/>
      <c r="E22" s="167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4"/>
      <c r="V22" s="165"/>
      <c r="W22" s="165"/>
      <c r="X22" s="165"/>
      <c r="Y22" s="165"/>
      <c r="Z22" s="185"/>
    </row>
    <row r="23" spans="1:26" ht="20.100000000000001" customHeight="1" x14ac:dyDescent="0.2">
      <c r="A23" s="151"/>
      <c r="B23" s="151"/>
      <c r="C23" s="151"/>
      <c r="D23" s="151"/>
      <c r="E23" s="67">
        <v>1</v>
      </c>
      <c r="F23" s="40">
        <v>2</v>
      </c>
      <c r="G23" s="40">
        <v>3</v>
      </c>
      <c r="H23" s="40">
        <v>4</v>
      </c>
      <c r="I23" s="40">
        <v>5</v>
      </c>
      <c r="J23" s="40">
        <v>6</v>
      </c>
      <c r="K23" s="40">
        <v>7</v>
      </c>
      <c r="L23" s="40">
        <v>8</v>
      </c>
      <c r="M23" s="40">
        <v>9</v>
      </c>
      <c r="N23" s="40">
        <v>10</v>
      </c>
      <c r="O23" s="40">
        <v>11</v>
      </c>
      <c r="P23" s="40">
        <v>12</v>
      </c>
      <c r="Q23" s="40">
        <v>13</v>
      </c>
      <c r="R23" s="40">
        <v>14</v>
      </c>
      <c r="S23" s="40">
        <v>15</v>
      </c>
      <c r="T23" s="68">
        <v>16</v>
      </c>
      <c r="U23" s="167"/>
      <c r="V23" s="168"/>
      <c r="W23" s="168"/>
      <c r="X23" s="168"/>
      <c r="Y23" s="168"/>
      <c r="Z23" s="186"/>
    </row>
    <row r="24" spans="1:26" s="58" customFormat="1" ht="30" customHeight="1" x14ac:dyDescent="0.2">
      <c r="A24" s="17">
        <v>1</v>
      </c>
      <c r="B24" s="106">
        <v>12230</v>
      </c>
      <c r="C24" s="31" t="s">
        <v>200</v>
      </c>
      <c r="D24" s="32" t="s">
        <v>8</v>
      </c>
      <c r="E24" s="51">
        <v>1</v>
      </c>
      <c r="F24" s="51"/>
      <c r="G24" s="51"/>
      <c r="H24" s="52"/>
      <c r="I24" s="52"/>
      <c r="J24" s="52"/>
      <c r="K24" s="52"/>
      <c r="L24" s="52"/>
      <c r="M24" s="51"/>
      <c r="N24" s="51"/>
      <c r="O24" s="51"/>
      <c r="P24" s="51">
        <v>1</v>
      </c>
      <c r="Q24" s="51"/>
      <c r="R24" s="51"/>
      <c r="S24" s="51"/>
      <c r="T24" s="52">
        <v>1</v>
      </c>
      <c r="U24" s="174">
        <v>1</v>
      </c>
      <c r="V24" s="174"/>
      <c r="W24" s="174"/>
      <c r="X24" s="174"/>
      <c r="Y24" s="174"/>
      <c r="Z24" s="188"/>
    </row>
    <row r="25" spans="1:26" s="58" customFormat="1" ht="30" customHeight="1" x14ac:dyDescent="0.2">
      <c r="A25" s="17">
        <v>2</v>
      </c>
      <c r="B25" s="106">
        <v>12240</v>
      </c>
      <c r="C25" s="31" t="s">
        <v>201</v>
      </c>
      <c r="D25" s="32" t="s">
        <v>7</v>
      </c>
      <c r="E25" s="51"/>
      <c r="F25" s="51"/>
      <c r="G25" s="51"/>
      <c r="H25" s="52"/>
      <c r="I25" s="52"/>
      <c r="J25" s="52"/>
      <c r="K25" s="52"/>
      <c r="L25" s="52"/>
      <c r="M25" s="51"/>
      <c r="N25" s="51"/>
      <c r="O25" s="51"/>
      <c r="P25" s="51">
        <v>1</v>
      </c>
      <c r="Q25" s="51"/>
      <c r="R25" s="51"/>
      <c r="S25" s="51"/>
      <c r="T25" s="52">
        <v>1</v>
      </c>
      <c r="U25" s="174">
        <v>1</v>
      </c>
      <c r="V25" s="174"/>
      <c r="W25" s="174"/>
      <c r="X25" s="174"/>
      <c r="Y25" s="174"/>
      <c r="Z25" s="188"/>
    </row>
    <row r="26" spans="1:26" s="58" customFormat="1" ht="30" customHeight="1" x14ac:dyDescent="0.2">
      <c r="A26" s="17">
        <v>3</v>
      </c>
      <c r="B26" s="106">
        <v>12241</v>
      </c>
      <c r="C26" s="31" t="s">
        <v>202</v>
      </c>
      <c r="D26" s="32" t="s">
        <v>7</v>
      </c>
      <c r="E26" s="51"/>
      <c r="F26" s="51"/>
      <c r="G26" s="51"/>
      <c r="H26" s="52"/>
      <c r="I26" s="52"/>
      <c r="J26" s="52"/>
      <c r="K26" s="52"/>
      <c r="L26" s="52"/>
      <c r="M26" s="51"/>
      <c r="N26" s="51"/>
      <c r="O26" s="51"/>
      <c r="P26" s="51">
        <v>1</v>
      </c>
      <c r="Q26" s="51"/>
      <c r="R26" s="51"/>
      <c r="S26" s="51"/>
      <c r="T26" s="52">
        <v>1</v>
      </c>
      <c r="U26" s="174">
        <v>1</v>
      </c>
      <c r="V26" s="174"/>
      <c r="W26" s="174"/>
      <c r="X26" s="174"/>
      <c r="Y26" s="174"/>
      <c r="Z26" s="188"/>
    </row>
    <row r="27" spans="1:26" s="58" customFormat="1" ht="30" customHeight="1" x14ac:dyDescent="0.2">
      <c r="A27" s="17">
        <v>4</v>
      </c>
      <c r="B27" s="106">
        <v>12249</v>
      </c>
      <c r="C27" s="112" t="s">
        <v>203</v>
      </c>
      <c r="D27" s="32" t="s">
        <v>8</v>
      </c>
      <c r="E27" s="51"/>
      <c r="F27" s="51"/>
      <c r="G27" s="51"/>
      <c r="H27" s="52"/>
      <c r="I27" s="52"/>
      <c r="J27" s="52"/>
      <c r="K27" s="52"/>
      <c r="L27" s="52"/>
      <c r="M27" s="51"/>
      <c r="N27" s="51"/>
      <c r="O27" s="51"/>
      <c r="P27" s="51">
        <v>1</v>
      </c>
      <c r="Q27" s="51"/>
      <c r="R27" s="51"/>
      <c r="S27" s="51"/>
      <c r="T27" s="52">
        <v>1</v>
      </c>
      <c r="U27" s="174">
        <v>1</v>
      </c>
      <c r="V27" s="174"/>
      <c r="W27" s="174"/>
      <c r="X27" s="174"/>
      <c r="Y27" s="174"/>
      <c r="Z27" s="188"/>
    </row>
    <row r="28" spans="1:26" s="58" customFormat="1" ht="30" customHeight="1" x14ac:dyDescent="0.2">
      <c r="A28" s="17">
        <v>5</v>
      </c>
      <c r="B28" s="106">
        <v>12259</v>
      </c>
      <c r="C28" s="31" t="s">
        <v>204</v>
      </c>
      <c r="D28" s="32" t="s">
        <v>7</v>
      </c>
      <c r="E28" s="51"/>
      <c r="F28" s="51"/>
      <c r="G28" s="51"/>
      <c r="H28" s="52"/>
      <c r="I28" s="52"/>
      <c r="J28" s="52"/>
      <c r="K28" s="52"/>
      <c r="L28" s="52"/>
      <c r="M28" s="51"/>
      <c r="N28" s="51"/>
      <c r="O28" s="51"/>
      <c r="P28" s="51">
        <v>1</v>
      </c>
      <c r="Q28" s="51"/>
      <c r="R28" s="51"/>
      <c r="S28" s="51"/>
      <c r="T28" s="52">
        <v>1</v>
      </c>
      <c r="U28" s="174">
        <v>1</v>
      </c>
      <c r="V28" s="174"/>
      <c r="W28" s="174"/>
      <c r="X28" s="174"/>
      <c r="Y28" s="174"/>
      <c r="Z28" s="188"/>
    </row>
    <row r="29" spans="1:26" s="58" customFormat="1" ht="30" customHeight="1" x14ac:dyDescent="0.2">
      <c r="A29" s="17">
        <v>6</v>
      </c>
      <c r="B29" s="106">
        <v>12265</v>
      </c>
      <c r="C29" s="31" t="s">
        <v>205</v>
      </c>
      <c r="D29" s="32" t="s">
        <v>7</v>
      </c>
      <c r="E29" s="51"/>
      <c r="F29" s="51"/>
      <c r="G29" s="51"/>
      <c r="H29" s="52"/>
      <c r="I29" s="52"/>
      <c r="J29" s="52"/>
      <c r="K29" s="52"/>
      <c r="L29" s="52"/>
      <c r="M29" s="51"/>
      <c r="N29" s="51"/>
      <c r="O29" s="51"/>
      <c r="P29" s="51">
        <v>1</v>
      </c>
      <c r="Q29" s="51"/>
      <c r="R29" s="51"/>
      <c r="S29" s="51"/>
      <c r="T29" s="52">
        <v>1</v>
      </c>
      <c r="U29" s="174">
        <v>1</v>
      </c>
      <c r="V29" s="174"/>
      <c r="W29" s="174"/>
      <c r="X29" s="174"/>
      <c r="Y29" s="174"/>
      <c r="Z29" s="188"/>
    </row>
    <row r="30" spans="1:26" s="58" customFormat="1" ht="30" customHeight="1" x14ac:dyDescent="0.2">
      <c r="A30" s="17">
        <v>7</v>
      </c>
      <c r="B30" s="106">
        <v>12270</v>
      </c>
      <c r="C30" s="31" t="s">
        <v>206</v>
      </c>
      <c r="D30" s="32" t="s">
        <v>8</v>
      </c>
      <c r="E30" s="51"/>
      <c r="F30" s="51"/>
      <c r="G30" s="51"/>
      <c r="H30" s="52"/>
      <c r="I30" s="52"/>
      <c r="J30" s="52"/>
      <c r="K30" s="52"/>
      <c r="L30" s="52"/>
      <c r="M30" s="51"/>
      <c r="N30" s="51"/>
      <c r="O30" s="51"/>
      <c r="P30" s="51">
        <v>1</v>
      </c>
      <c r="Q30" s="51"/>
      <c r="R30" s="51"/>
      <c r="S30" s="51"/>
      <c r="T30" s="52">
        <v>1</v>
      </c>
      <c r="U30" s="174">
        <v>1</v>
      </c>
      <c r="V30" s="174"/>
      <c r="W30" s="174"/>
      <c r="X30" s="174"/>
      <c r="Y30" s="174"/>
      <c r="Z30" s="188"/>
    </row>
    <row r="31" spans="1:26" s="58" customFormat="1" ht="30" customHeight="1" x14ac:dyDescent="0.2">
      <c r="A31" s="17">
        <v>8</v>
      </c>
      <c r="B31" s="106">
        <v>12274</v>
      </c>
      <c r="C31" s="33" t="s">
        <v>207</v>
      </c>
      <c r="D31" s="34" t="s">
        <v>8</v>
      </c>
      <c r="E31" s="51"/>
      <c r="F31" s="51"/>
      <c r="G31" s="51"/>
      <c r="H31" s="52"/>
      <c r="I31" s="52"/>
      <c r="J31" s="52"/>
      <c r="K31" s="52"/>
      <c r="L31" s="52"/>
      <c r="M31" s="51"/>
      <c r="N31" s="51"/>
      <c r="O31" s="51"/>
      <c r="P31" s="51">
        <v>1</v>
      </c>
      <c r="Q31" s="51"/>
      <c r="R31" s="51"/>
      <c r="S31" s="51"/>
      <c r="T31" s="52">
        <v>1</v>
      </c>
      <c r="U31" s="174">
        <v>1</v>
      </c>
      <c r="V31" s="174"/>
      <c r="W31" s="174"/>
      <c r="X31" s="174"/>
      <c r="Y31" s="174"/>
      <c r="Z31" s="188"/>
    </row>
    <row r="32" spans="1:26" s="58" customFormat="1" ht="30" customHeight="1" x14ac:dyDescent="0.2">
      <c r="A32" s="17">
        <v>9</v>
      </c>
      <c r="B32" s="106">
        <v>12285</v>
      </c>
      <c r="C32" s="31" t="s">
        <v>208</v>
      </c>
      <c r="D32" s="32" t="s">
        <v>7</v>
      </c>
      <c r="E32" s="51"/>
      <c r="F32" s="51"/>
      <c r="G32" s="51"/>
      <c r="H32" s="52"/>
      <c r="I32" s="52"/>
      <c r="J32" s="52"/>
      <c r="K32" s="52"/>
      <c r="L32" s="52"/>
      <c r="M32" s="51"/>
      <c r="N32" s="51"/>
      <c r="O32" s="51"/>
      <c r="P32" s="51">
        <v>1</v>
      </c>
      <c r="Q32" s="51"/>
      <c r="R32" s="51"/>
      <c r="S32" s="51"/>
      <c r="T32" s="52">
        <v>1</v>
      </c>
      <c r="U32" s="174">
        <v>1</v>
      </c>
      <c r="V32" s="174"/>
      <c r="W32" s="174"/>
      <c r="X32" s="174"/>
      <c r="Y32" s="174"/>
      <c r="Z32" s="188"/>
    </row>
    <row r="33" spans="1:26" s="58" customFormat="1" ht="30" customHeight="1" x14ac:dyDescent="0.2">
      <c r="A33" s="17">
        <v>10</v>
      </c>
      <c r="B33" s="106">
        <v>12288</v>
      </c>
      <c r="C33" s="112" t="s">
        <v>209</v>
      </c>
      <c r="D33" s="32" t="s">
        <v>7</v>
      </c>
      <c r="E33" s="51"/>
      <c r="F33" s="51"/>
      <c r="G33" s="51"/>
      <c r="H33" s="52"/>
      <c r="I33" s="52"/>
      <c r="J33" s="52"/>
      <c r="K33" s="52"/>
      <c r="L33" s="52"/>
      <c r="M33" s="51"/>
      <c r="N33" s="51"/>
      <c r="O33" s="51"/>
      <c r="P33" s="51">
        <v>1</v>
      </c>
      <c r="Q33" s="51"/>
      <c r="R33" s="51"/>
      <c r="S33" s="51"/>
      <c r="T33" s="52">
        <v>1</v>
      </c>
      <c r="U33" s="174">
        <v>1</v>
      </c>
      <c r="V33" s="174"/>
      <c r="W33" s="174"/>
      <c r="X33" s="174"/>
      <c r="Y33" s="174"/>
      <c r="Z33" s="188"/>
    </row>
    <row r="34" spans="1:26" s="58" customFormat="1" ht="30" customHeight="1" x14ac:dyDescent="0.2">
      <c r="A34" s="17">
        <v>11</v>
      </c>
      <c r="B34" s="106">
        <v>12294</v>
      </c>
      <c r="C34" s="31" t="s">
        <v>210</v>
      </c>
      <c r="D34" s="32" t="s">
        <v>8</v>
      </c>
      <c r="E34" s="51"/>
      <c r="F34" s="51"/>
      <c r="G34" s="51"/>
      <c r="H34" s="52"/>
      <c r="I34" s="52"/>
      <c r="J34" s="52"/>
      <c r="K34" s="52"/>
      <c r="L34" s="52"/>
      <c r="M34" s="51"/>
      <c r="N34" s="51"/>
      <c r="O34" s="51"/>
      <c r="P34" s="51">
        <v>1</v>
      </c>
      <c r="Q34" s="51"/>
      <c r="R34" s="51"/>
      <c r="S34" s="51"/>
      <c r="T34" s="52">
        <v>1</v>
      </c>
      <c r="U34" s="174">
        <v>1</v>
      </c>
      <c r="V34" s="174"/>
      <c r="W34" s="174"/>
      <c r="X34" s="174"/>
      <c r="Y34" s="174"/>
      <c r="Z34" s="188"/>
    </row>
    <row r="35" spans="1:26" s="58" customFormat="1" ht="30" customHeight="1" x14ac:dyDescent="0.2">
      <c r="A35" s="17">
        <v>12</v>
      </c>
      <c r="B35" s="106">
        <v>12295</v>
      </c>
      <c r="C35" s="112" t="s">
        <v>211</v>
      </c>
      <c r="D35" s="32" t="s">
        <v>7</v>
      </c>
      <c r="E35" s="51"/>
      <c r="F35" s="51"/>
      <c r="G35" s="51"/>
      <c r="H35" s="52"/>
      <c r="I35" s="52"/>
      <c r="J35" s="52"/>
      <c r="K35" s="52"/>
      <c r="L35" s="52"/>
      <c r="M35" s="51"/>
      <c r="N35" s="51"/>
      <c r="O35" s="51"/>
      <c r="P35" s="51">
        <v>1</v>
      </c>
      <c r="Q35" s="51"/>
      <c r="R35" s="51"/>
      <c r="S35" s="51"/>
      <c r="T35" s="52">
        <v>1</v>
      </c>
      <c r="U35" s="174">
        <v>1</v>
      </c>
      <c r="V35" s="174"/>
      <c r="W35" s="174"/>
      <c r="X35" s="174"/>
      <c r="Y35" s="174"/>
      <c r="Z35" s="188"/>
    </row>
    <row r="36" spans="1:26" s="58" customFormat="1" ht="30" customHeight="1" x14ac:dyDescent="0.2">
      <c r="A36" s="17">
        <v>13</v>
      </c>
      <c r="B36" s="106">
        <v>12314</v>
      </c>
      <c r="C36" s="31" t="s">
        <v>212</v>
      </c>
      <c r="D36" s="32" t="s">
        <v>7</v>
      </c>
      <c r="E36" s="51"/>
      <c r="F36" s="51"/>
      <c r="G36" s="51"/>
      <c r="H36" s="52"/>
      <c r="I36" s="52"/>
      <c r="J36" s="52"/>
      <c r="K36" s="52"/>
      <c r="L36" s="52"/>
      <c r="M36" s="51"/>
      <c r="N36" s="51"/>
      <c r="O36" s="51"/>
      <c r="P36" s="51">
        <v>1</v>
      </c>
      <c r="Q36" s="51"/>
      <c r="R36" s="51"/>
      <c r="S36" s="51"/>
      <c r="T36" s="52">
        <v>1</v>
      </c>
      <c r="U36" s="174">
        <v>1</v>
      </c>
      <c r="V36" s="174"/>
      <c r="W36" s="174"/>
      <c r="X36" s="174"/>
      <c r="Y36" s="174"/>
      <c r="Z36" s="188"/>
    </row>
    <row r="37" spans="1:26" s="58" customFormat="1" ht="30" customHeight="1" x14ac:dyDescent="0.2">
      <c r="A37" s="17">
        <v>14</v>
      </c>
      <c r="B37" s="106">
        <v>12316</v>
      </c>
      <c r="C37" s="31" t="s">
        <v>213</v>
      </c>
      <c r="D37" s="32" t="s">
        <v>7</v>
      </c>
      <c r="E37" s="51"/>
      <c r="F37" s="51"/>
      <c r="G37" s="51"/>
      <c r="H37" s="52"/>
      <c r="I37" s="52"/>
      <c r="J37" s="52"/>
      <c r="K37" s="52"/>
      <c r="L37" s="52"/>
      <c r="M37" s="51"/>
      <c r="N37" s="51"/>
      <c r="O37" s="51"/>
      <c r="P37" s="51">
        <v>1</v>
      </c>
      <c r="Q37" s="51"/>
      <c r="R37" s="51"/>
      <c r="S37" s="51"/>
      <c r="T37" s="52">
        <v>1</v>
      </c>
      <c r="U37" s="174">
        <v>1</v>
      </c>
      <c r="V37" s="174"/>
      <c r="W37" s="174"/>
      <c r="X37" s="174"/>
      <c r="Y37" s="174"/>
      <c r="Z37" s="188"/>
    </row>
    <row r="38" spans="1:26" s="58" customFormat="1" ht="30" customHeight="1" x14ac:dyDescent="0.2">
      <c r="A38" s="17">
        <v>15</v>
      </c>
      <c r="B38" s="106">
        <v>12334</v>
      </c>
      <c r="C38" s="31" t="s">
        <v>214</v>
      </c>
      <c r="D38" s="32" t="s">
        <v>8</v>
      </c>
      <c r="E38" s="51"/>
      <c r="F38" s="51"/>
      <c r="G38" s="51"/>
      <c r="H38" s="52"/>
      <c r="I38" s="52"/>
      <c r="J38" s="52"/>
      <c r="K38" s="52"/>
      <c r="L38" s="52"/>
      <c r="M38" s="51"/>
      <c r="N38" s="51"/>
      <c r="O38" s="51"/>
      <c r="P38" s="51">
        <v>1</v>
      </c>
      <c r="Q38" s="51"/>
      <c r="R38" s="51"/>
      <c r="S38" s="51"/>
      <c r="T38" s="52">
        <v>1</v>
      </c>
      <c r="U38" s="174">
        <v>1</v>
      </c>
      <c r="V38" s="174"/>
      <c r="W38" s="174"/>
      <c r="X38" s="174"/>
      <c r="Y38" s="174"/>
      <c r="Z38" s="188"/>
    </row>
    <row r="39" spans="1:26" s="58" customFormat="1" ht="30" customHeight="1" x14ac:dyDescent="0.2">
      <c r="A39" s="17">
        <v>16</v>
      </c>
      <c r="B39" s="106">
        <v>12339</v>
      </c>
      <c r="C39" s="31" t="s">
        <v>215</v>
      </c>
      <c r="D39" s="32" t="s">
        <v>8</v>
      </c>
      <c r="E39" s="51"/>
      <c r="F39" s="51"/>
      <c r="G39" s="51"/>
      <c r="H39" s="52"/>
      <c r="I39" s="52"/>
      <c r="J39" s="52"/>
      <c r="K39" s="52"/>
      <c r="L39" s="52"/>
      <c r="M39" s="51"/>
      <c r="N39" s="51"/>
      <c r="O39" s="51"/>
      <c r="P39" s="51">
        <v>1</v>
      </c>
      <c r="Q39" s="51"/>
      <c r="R39" s="51"/>
      <c r="S39" s="51"/>
      <c r="T39" s="52">
        <v>1</v>
      </c>
      <c r="U39" s="174">
        <v>1</v>
      </c>
      <c r="V39" s="174"/>
      <c r="W39" s="174"/>
      <c r="X39" s="174"/>
      <c r="Y39" s="174"/>
      <c r="Z39" s="188"/>
    </row>
    <row r="40" spans="1:26" s="58" customFormat="1" ht="30" customHeight="1" x14ac:dyDescent="0.2">
      <c r="A40" s="17">
        <v>17</v>
      </c>
      <c r="B40" s="106">
        <v>12353</v>
      </c>
      <c r="C40" s="112" t="s">
        <v>216</v>
      </c>
      <c r="D40" s="32" t="s">
        <v>7</v>
      </c>
      <c r="E40" s="51"/>
      <c r="F40" s="51"/>
      <c r="G40" s="51"/>
      <c r="H40" s="52"/>
      <c r="I40" s="52"/>
      <c r="J40" s="52"/>
      <c r="K40" s="52"/>
      <c r="L40" s="52"/>
      <c r="M40" s="51"/>
      <c r="N40" s="51"/>
      <c r="O40" s="51"/>
      <c r="P40" s="51">
        <v>1</v>
      </c>
      <c r="Q40" s="51"/>
      <c r="R40" s="51"/>
      <c r="S40" s="51"/>
      <c r="T40" s="52">
        <v>1</v>
      </c>
      <c r="U40" s="174">
        <v>1</v>
      </c>
      <c r="V40" s="174"/>
      <c r="W40" s="174"/>
      <c r="X40" s="174"/>
      <c r="Y40" s="174"/>
      <c r="Z40" s="188"/>
    </row>
    <row r="41" spans="1:26" s="58" customFormat="1" ht="30" customHeight="1" x14ac:dyDescent="0.2">
      <c r="A41" s="17">
        <v>18</v>
      </c>
      <c r="B41" s="106">
        <v>12355</v>
      </c>
      <c r="C41" s="31" t="s">
        <v>217</v>
      </c>
      <c r="D41" s="32" t="s">
        <v>7</v>
      </c>
      <c r="E41" s="51"/>
      <c r="F41" s="51"/>
      <c r="G41" s="51"/>
      <c r="H41" s="52"/>
      <c r="I41" s="52"/>
      <c r="J41" s="52"/>
      <c r="K41" s="52"/>
      <c r="L41" s="52"/>
      <c r="M41" s="51"/>
      <c r="N41" s="51"/>
      <c r="O41" s="51"/>
      <c r="P41" s="51">
        <v>1</v>
      </c>
      <c r="Q41" s="51"/>
      <c r="R41" s="51"/>
      <c r="S41" s="51"/>
      <c r="T41" s="52">
        <v>1</v>
      </c>
      <c r="U41" s="174">
        <v>1</v>
      </c>
      <c r="V41" s="174"/>
      <c r="W41" s="174"/>
      <c r="X41" s="174"/>
      <c r="Y41" s="174"/>
      <c r="Z41" s="188"/>
    </row>
    <row r="42" spans="1:26" s="58" customFormat="1" ht="30" customHeight="1" x14ac:dyDescent="0.2">
      <c r="A42" s="17">
        <v>19</v>
      </c>
      <c r="B42" s="106">
        <v>12372</v>
      </c>
      <c r="C42" s="31" t="s">
        <v>218</v>
      </c>
      <c r="D42" s="32" t="s">
        <v>7</v>
      </c>
      <c r="E42" s="51"/>
      <c r="F42" s="51"/>
      <c r="G42" s="51"/>
      <c r="H42" s="52"/>
      <c r="I42" s="52"/>
      <c r="J42" s="52"/>
      <c r="K42" s="52"/>
      <c r="L42" s="52"/>
      <c r="M42" s="51"/>
      <c r="N42" s="51"/>
      <c r="O42" s="51"/>
      <c r="P42" s="51"/>
      <c r="Q42" s="51"/>
      <c r="R42" s="51"/>
      <c r="S42" s="51"/>
      <c r="T42" s="52"/>
      <c r="U42" s="191"/>
      <c r="V42" s="176"/>
      <c r="W42" s="176"/>
      <c r="X42" s="176"/>
      <c r="Y42" s="176"/>
      <c r="Z42" s="189"/>
    </row>
    <row r="43" spans="1:26" s="58" customFormat="1" ht="30" customHeight="1" x14ac:dyDescent="0.2">
      <c r="A43" s="17">
        <v>20</v>
      </c>
      <c r="B43" s="106">
        <v>12374</v>
      </c>
      <c r="C43" s="31" t="s">
        <v>219</v>
      </c>
      <c r="D43" s="32" t="s">
        <v>7</v>
      </c>
      <c r="E43" s="51"/>
      <c r="F43" s="51"/>
      <c r="G43" s="51"/>
      <c r="H43" s="52"/>
      <c r="I43" s="52"/>
      <c r="J43" s="52"/>
      <c r="K43" s="52"/>
      <c r="L43" s="52"/>
      <c r="M43" s="51"/>
      <c r="N43" s="51"/>
      <c r="O43" s="51"/>
      <c r="P43" s="51"/>
      <c r="Q43" s="51"/>
      <c r="R43" s="51"/>
      <c r="S43" s="51"/>
      <c r="T43" s="52"/>
      <c r="U43" s="191"/>
      <c r="V43" s="176"/>
      <c r="W43" s="176"/>
      <c r="X43" s="176"/>
      <c r="Y43" s="176"/>
      <c r="Z43" s="189"/>
    </row>
    <row r="44" spans="1:26" s="58" customFormat="1" ht="30" customHeight="1" x14ac:dyDescent="0.2">
      <c r="A44" s="17">
        <v>21</v>
      </c>
      <c r="B44" s="106">
        <v>12386</v>
      </c>
      <c r="C44" s="31" t="s">
        <v>220</v>
      </c>
      <c r="D44" s="32" t="s">
        <v>8</v>
      </c>
      <c r="E44" s="51"/>
      <c r="F44" s="51"/>
      <c r="G44" s="51"/>
      <c r="H44" s="52"/>
      <c r="I44" s="52"/>
      <c r="J44" s="52"/>
      <c r="K44" s="52"/>
      <c r="L44" s="52"/>
      <c r="M44" s="51"/>
      <c r="N44" s="51"/>
      <c r="O44" s="51"/>
      <c r="P44" s="51"/>
      <c r="Q44" s="51"/>
      <c r="R44" s="51"/>
      <c r="S44" s="51"/>
      <c r="T44" s="52"/>
      <c r="U44" s="191"/>
      <c r="V44" s="176"/>
      <c r="W44" s="176"/>
      <c r="X44" s="176"/>
      <c r="Y44" s="176"/>
      <c r="Z44" s="189"/>
    </row>
    <row r="45" spans="1:26" s="58" customFormat="1" ht="30" customHeight="1" x14ac:dyDescent="0.2">
      <c r="A45" s="17">
        <v>22</v>
      </c>
      <c r="B45" s="106">
        <v>12394</v>
      </c>
      <c r="C45" s="31" t="s">
        <v>221</v>
      </c>
      <c r="D45" s="32" t="s">
        <v>8</v>
      </c>
      <c r="E45" s="51"/>
      <c r="F45" s="51"/>
      <c r="G45" s="51"/>
      <c r="H45" s="52"/>
      <c r="I45" s="52"/>
      <c r="J45" s="52"/>
      <c r="K45" s="52"/>
      <c r="L45" s="52"/>
      <c r="M45" s="51"/>
      <c r="N45" s="51"/>
      <c r="O45" s="51"/>
      <c r="P45" s="51"/>
      <c r="Q45" s="51"/>
      <c r="R45" s="51"/>
      <c r="S45" s="51"/>
      <c r="T45" s="52"/>
      <c r="U45" s="191"/>
      <c r="V45" s="176"/>
      <c r="W45" s="176"/>
      <c r="X45" s="176"/>
      <c r="Y45" s="176"/>
      <c r="Z45" s="189"/>
    </row>
    <row r="46" spans="1:26" s="58" customFormat="1" ht="30" customHeight="1" x14ac:dyDescent="0.2">
      <c r="A46" s="17">
        <v>23</v>
      </c>
      <c r="B46" s="106">
        <v>12406</v>
      </c>
      <c r="C46" s="112" t="s">
        <v>222</v>
      </c>
      <c r="D46" s="32" t="s">
        <v>7</v>
      </c>
      <c r="E46" s="51"/>
      <c r="F46" s="51"/>
      <c r="G46" s="51"/>
      <c r="H46" s="52"/>
      <c r="I46" s="52"/>
      <c r="J46" s="52"/>
      <c r="K46" s="52"/>
      <c r="L46" s="52"/>
      <c r="M46" s="51"/>
      <c r="N46" s="51"/>
      <c r="O46" s="51"/>
      <c r="P46" s="51"/>
      <c r="Q46" s="51"/>
      <c r="R46" s="51"/>
      <c r="S46" s="51"/>
      <c r="T46" s="52"/>
      <c r="U46" s="72"/>
      <c r="V46" s="72"/>
      <c r="W46" s="72"/>
      <c r="X46" s="72"/>
      <c r="Y46" s="72"/>
      <c r="Z46" s="101"/>
    </row>
    <row r="47" spans="1:26" s="58" customFormat="1" ht="30" customHeight="1" x14ac:dyDescent="0.2">
      <c r="A47" s="17">
        <v>24</v>
      </c>
      <c r="B47" s="106">
        <v>12409</v>
      </c>
      <c r="C47" s="31" t="s">
        <v>223</v>
      </c>
      <c r="D47" s="32" t="s">
        <v>8</v>
      </c>
      <c r="E47" s="51"/>
      <c r="F47" s="51"/>
      <c r="G47" s="51"/>
      <c r="H47" s="52"/>
      <c r="I47" s="52"/>
      <c r="J47" s="52"/>
      <c r="K47" s="52"/>
      <c r="L47" s="52"/>
      <c r="M47" s="51"/>
      <c r="N47" s="51"/>
      <c r="O47" s="51"/>
      <c r="P47" s="51"/>
      <c r="Q47" s="51"/>
      <c r="R47" s="51"/>
      <c r="S47" s="51"/>
      <c r="T47" s="52"/>
      <c r="U47" s="72"/>
      <c r="V47" s="72"/>
      <c r="W47" s="72"/>
      <c r="X47" s="72"/>
      <c r="Y47" s="72"/>
      <c r="Z47" s="101"/>
    </row>
    <row r="48" spans="1:26" s="58" customFormat="1" ht="30" customHeight="1" x14ac:dyDescent="0.2">
      <c r="A48" s="17">
        <v>25</v>
      </c>
      <c r="B48" s="106">
        <v>12411</v>
      </c>
      <c r="C48" s="69" t="s">
        <v>224</v>
      </c>
      <c r="D48" s="34" t="s">
        <v>8</v>
      </c>
      <c r="E48" s="51"/>
      <c r="F48" s="51"/>
      <c r="G48" s="51"/>
      <c r="H48" s="52"/>
      <c r="I48" s="52"/>
      <c r="J48" s="52"/>
      <c r="K48" s="52"/>
      <c r="L48" s="52"/>
      <c r="M48" s="51"/>
      <c r="N48" s="51"/>
      <c r="O48" s="51"/>
      <c r="P48" s="51"/>
      <c r="Q48" s="51"/>
      <c r="R48" s="51"/>
      <c r="S48" s="51"/>
      <c r="T48" s="52"/>
      <c r="U48" s="72"/>
      <c r="V48" s="72"/>
      <c r="W48" s="72"/>
      <c r="X48" s="72"/>
      <c r="Y48" s="72"/>
      <c r="Z48" s="101"/>
    </row>
    <row r="49" spans="1:26" s="58" customFormat="1" ht="30" customHeight="1" x14ac:dyDescent="0.2">
      <c r="A49" s="17">
        <v>26</v>
      </c>
      <c r="B49" s="106">
        <v>12414</v>
      </c>
      <c r="C49" s="31" t="s">
        <v>225</v>
      </c>
      <c r="D49" s="32" t="s">
        <v>7</v>
      </c>
      <c r="E49" s="51"/>
      <c r="F49" s="51"/>
      <c r="G49" s="51"/>
      <c r="H49" s="52"/>
      <c r="I49" s="52"/>
      <c r="J49" s="52"/>
      <c r="K49" s="52"/>
      <c r="L49" s="52"/>
      <c r="M49" s="51"/>
      <c r="N49" s="51"/>
      <c r="O49" s="51"/>
      <c r="P49" s="51"/>
      <c r="Q49" s="51"/>
      <c r="R49" s="51"/>
      <c r="S49" s="51"/>
      <c r="T49" s="52"/>
      <c r="U49" s="72"/>
      <c r="V49" s="72"/>
      <c r="W49" s="72"/>
      <c r="X49" s="72"/>
      <c r="Y49" s="72"/>
      <c r="Z49" s="101"/>
    </row>
    <row r="50" spans="1:26" s="58" customFormat="1" ht="30" customHeight="1" x14ac:dyDescent="0.2">
      <c r="A50" s="17">
        <v>27</v>
      </c>
      <c r="B50" s="106">
        <v>12419</v>
      </c>
      <c r="C50" s="31" t="s">
        <v>320</v>
      </c>
      <c r="D50" s="32" t="s">
        <v>7</v>
      </c>
      <c r="E50" s="51"/>
      <c r="F50" s="51"/>
      <c r="G50" s="51"/>
      <c r="H50" s="52"/>
      <c r="I50" s="52"/>
      <c r="J50" s="52"/>
      <c r="K50" s="52"/>
      <c r="L50" s="52"/>
      <c r="M50" s="51"/>
      <c r="N50" s="51"/>
      <c r="O50" s="51"/>
      <c r="P50" s="51"/>
      <c r="Q50" s="51"/>
      <c r="R50" s="51"/>
      <c r="S50" s="51"/>
      <c r="T50" s="52"/>
      <c r="U50" s="72"/>
      <c r="V50" s="72"/>
      <c r="W50" s="72"/>
      <c r="X50" s="72"/>
      <c r="Y50" s="72"/>
      <c r="Z50" s="101"/>
    </row>
    <row r="51" spans="1:26" s="58" customFormat="1" ht="30" customHeight="1" x14ac:dyDescent="0.2">
      <c r="A51" s="17">
        <v>28</v>
      </c>
      <c r="B51" s="106">
        <v>12428</v>
      </c>
      <c r="C51" s="31" t="s">
        <v>227</v>
      </c>
      <c r="D51" s="32" t="s">
        <v>7</v>
      </c>
      <c r="E51" s="51"/>
      <c r="F51" s="51"/>
      <c r="G51" s="51"/>
      <c r="H51" s="52"/>
      <c r="I51" s="52"/>
      <c r="J51" s="52"/>
      <c r="K51" s="52"/>
      <c r="L51" s="52"/>
      <c r="M51" s="51"/>
      <c r="N51" s="51"/>
      <c r="O51" s="51"/>
      <c r="P51" s="51"/>
      <c r="Q51" s="51"/>
      <c r="R51" s="51"/>
      <c r="S51" s="51"/>
      <c r="T51" s="52"/>
      <c r="U51" s="72"/>
      <c r="V51" s="72"/>
      <c r="W51" s="72"/>
      <c r="X51" s="72"/>
      <c r="Y51" s="72"/>
      <c r="Z51" s="101"/>
    </row>
    <row r="52" spans="1:26" s="58" customFormat="1" ht="30" customHeight="1" x14ac:dyDescent="0.2">
      <c r="A52" s="17">
        <v>29</v>
      </c>
      <c r="B52" s="106">
        <v>12430</v>
      </c>
      <c r="C52" s="33" t="s">
        <v>228</v>
      </c>
      <c r="D52" s="34" t="s">
        <v>7</v>
      </c>
      <c r="E52" s="51"/>
      <c r="F52" s="51"/>
      <c r="G52" s="51"/>
      <c r="H52" s="52"/>
      <c r="I52" s="52"/>
      <c r="J52" s="52"/>
      <c r="K52" s="52"/>
      <c r="L52" s="52"/>
      <c r="M52" s="51"/>
      <c r="N52" s="51"/>
      <c r="O52" s="51"/>
      <c r="P52" s="51"/>
      <c r="Q52" s="51"/>
      <c r="R52" s="51"/>
      <c r="S52" s="51"/>
      <c r="T52" s="52"/>
      <c r="U52" s="72"/>
      <c r="V52" s="72"/>
      <c r="W52" s="72"/>
      <c r="X52" s="72"/>
      <c r="Y52" s="72"/>
      <c r="Z52" s="101"/>
    </row>
    <row r="53" spans="1:26" s="58" customFormat="1" ht="30" customHeight="1" x14ac:dyDescent="0.2">
      <c r="A53" s="17">
        <v>30</v>
      </c>
      <c r="B53" s="106">
        <v>12432</v>
      </c>
      <c r="C53" s="31" t="s">
        <v>229</v>
      </c>
      <c r="D53" s="32" t="s">
        <v>7</v>
      </c>
      <c r="E53" s="51"/>
      <c r="F53" s="51"/>
      <c r="G53" s="51"/>
      <c r="H53" s="52"/>
      <c r="I53" s="52"/>
      <c r="J53" s="52"/>
      <c r="K53" s="52"/>
      <c r="L53" s="52"/>
      <c r="M53" s="51"/>
      <c r="N53" s="51"/>
      <c r="O53" s="51"/>
      <c r="P53" s="51"/>
      <c r="Q53" s="51"/>
      <c r="R53" s="51"/>
      <c r="S53" s="51"/>
      <c r="T53" s="52"/>
      <c r="U53" s="72"/>
      <c r="V53" s="72"/>
      <c r="W53" s="72"/>
      <c r="X53" s="72"/>
      <c r="Y53" s="72"/>
      <c r="Z53" s="101"/>
    </row>
    <row r="54" spans="1:26" s="58" customFormat="1" ht="30" customHeight="1" x14ac:dyDescent="0.2">
      <c r="A54" s="17">
        <v>31</v>
      </c>
      <c r="B54" s="106">
        <v>12440</v>
      </c>
      <c r="C54" s="31" t="s">
        <v>230</v>
      </c>
      <c r="D54" s="32" t="s">
        <v>7</v>
      </c>
      <c r="E54" s="51"/>
      <c r="F54" s="51"/>
      <c r="G54" s="51"/>
      <c r="H54" s="52"/>
      <c r="I54" s="52"/>
      <c r="J54" s="52"/>
      <c r="K54" s="52"/>
      <c r="L54" s="52"/>
      <c r="M54" s="51"/>
      <c r="N54" s="51"/>
      <c r="O54" s="51"/>
      <c r="P54" s="51"/>
      <c r="Q54" s="51"/>
      <c r="R54" s="51"/>
      <c r="S54" s="51"/>
      <c r="T54" s="52"/>
      <c r="U54" s="72"/>
      <c r="V54" s="72"/>
      <c r="W54" s="72"/>
      <c r="X54" s="72"/>
      <c r="Y54" s="72"/>
      <c r="Z54" s="101"/>
    </row>
    <row r="55" spans="1:26" s="58" customFormat="1" ht="30" customHeight="1" x14ac:dyDescent="0.2">
      <c r="A55" s="17">
        <v>32</v>
      </c>
      <c r="B55" s="106">
        <v>12449</v>
      </c>
      <c r="C55" s="31" t="s">
        <v>231</v>
      </c>
      <c r="D55" s="32" t="s">
        <v>8</v>
      </c>
      <c r="E55" s="51"/>
      <c r="F55" s="51"/>
      <c r="G55" s="51"/>
      <c r="H55" s="52"/>
      <c r="I55" s="52"/>
      <c r="J55" s="52"/>
      <c r="K55" s="52"/>
      <c r="L55" s="52"/>
      <c r="M55" s="51"/>
      <c r="N55" s="51"/>
      <c r="O55" s="51"/>
      <c r="P55" s="51"/>
      <c r="Q55" s="51"/>
      <c r="R55" s="51"/>
      <c r="S55" s="51"/>
      <c r="T55" s="52"/>
      <c r="U55" s="72"/>
      <c r="V55" s="72"/>
      <c r="W55" s="72"/>
      <c r="X55" s="72"/>
      <c r="Y55" s="72"/>
      <c r="Z55" s="101"/>
    </row>
    <row r="56" spans="1:26" s="58" customFormat="1" ht="30" customHeight="1" x14ac:dyDescent="0.2">
      <c r="A56" s="17">
        <v>33</v>
      </c>
      <c r="B56" s="106">
        <v>12458</v>
      </c>
      <c r="C56" s="31" t="s">
        <v>232</v>
      </c>
      <c r="D56" s="32" t="s">
        <v>7</v>
      </c>
      <c r="E56" s="51"/>
      <c r="F56" s="51"/>
      <c r="G56" s="51"/>
      <c r="H56" s="52"/>
      <c r="I56" s="52"/>
      <c r="J56" s="52"/>
      <c r="K56" s="52"/>
      <c r="L56" s="52"/>
      <c r="M56" s="51"/>
      <c r="N56" s="51"/>
      <c r="O56" s="51"/>
      <c r="P56" s="51">
        <v>1</v>
      </c>
      <c r="Q56" s="51"/>
      <c r="R56" s="51"/>
      <c r="S56" s="51"/>
      <c r="T56" s="52">
        <v>1</v>
      </c>
      <c r="U56" s="175"/>
      <c r="V56" s="176"/>
      <c r="W56" s="176"/>
      <c r="X56" s="176"/>
      <c r="Y56" s="176"/>
      <c r="Z56" s="189"/>
    </row>
    <row r="57" spans="1:26" s="58" customFormat="1" ht="30" customHeight="1" x14ac:dyDescent="0.2">
      <c r="A57" s="17">
        <v>34</v>
      </c>
      <c r="B57" s="106">
        <v>12468</v>
      </c>
      <c r="C57" s="31" t="s">
        <v>233</v>
      </c>
      <c r="D57" s="32" t="s">
        <v>7</v>
      </c>
      <c r="E57" s="51"/>
      <c r="F57" s="51"/>
      <c r="G57" s="51"/>
      <c r="H57" s="52"/>
      <c r="I57" s="52"/>
      <c r="J57" s="52"/>
      <c r="K57" s="52"/>
      <c r="L57" s="52"/>
      <c r="M57" s="51"/>
      <c r="N57" s="51"/>
      <c r="O57" s="51"/>
      <c r="P57" s="52"/>
      <c r="Q57" s="52"/>
      <c r="R57" s="52"/>
      <c r="S57" s="52"/>
      <c r="T57" s="52"/>
      <c r="U57" s="175"/>
      <c r="V57" s="176"/>
      <c r="W57" s="176"/>
      <c r="X57" s="176"/>
      <c r="Y57" s="176"/>
      <c r="Z57" s="189"/>
    </row>
    <row r="58" spans="1:26" s="54" customFormat="1" ht="30" customHeight="1" x14ac:dyDescent="0.2">
      <c r="B58" s="55"/>
      <c r="C58" s="45" t="s">
        <v>9</v>
      </c>
      <c r="D58" s="70">
        <f>COUNTIF(D24:D57,"L")</f>
        <v>22</v>
      </c>
      <c r="E58" s="56"/>
      <c r="F58" s="57"/>
      <c r="G58" s="57"/>
      <c r="H58" s="57"/>
      <c r="I58" s="57"/>
      <c r="J58" s="58"/>
    </row>
    <row r="59" spans="1:26" s="54" customFormat="1" ht="30" customHeight="1" x14ac:dyDescent="0.2">
      <c r="C59" s="45" t="s">
        <v>10</v>
      </c>
      <c r="D59" s="37">
        <f>COUNTIF(D24:D57,"P")</f>
        <v>12</v>
      </c>
      <c r="E59" s="59"/>
      <c r="F59" s="58"/>
      <c r="G59" s="58"/>
      <c r="H59" s="58"/>
      <c r="I59" s="58"/>
      <c r="J59" s="58"/>
    </row>
    <row r="60" spans="1:26" s="58" customFormat="1" ht="30" customHeight="1" x14ac:dyDescent="0.2">
      <c r="C60" s="46" t="s">
        <v>11</v>
      </c>
      <c r="D60" s="47">
        <f>SUM(D58:D59)</f>
        <v>34</v>
      </c>
      <c r="E60" s="59"/>
    </row>
    <row r="61" spans="1:26" s="26" customFormat="1" ht="17.45" customHeight="1" x14ac:dyDescent="0.25">
      <c r="C61" s="190" t="s">
        <v>12</v>
      </c>
      <c r="D61" s="190"/>
      <c r="E61" s="29"/>
    </row>
    <row r="62" spans="1:26" s="26" customFormat="1" ht="17.45" customHeight="1" x14ac:dyDescent="0.25">
      <c r="E62" s="29"/>
    </row>
    <row r="63" spans="1:26" s="26" customFormat="1" ht="17.45" customHeight="1" x14ac:dyDescent="0.25">
      <c r="E63" s="29"/>
    </row>
    <row r="64" spans="1:26" s="26" customFormat="1" ht="17.45" customHeight="1" x14ac:dyDescent="0.25">
      <c r="E64" s="29"/>
    </row>
    <row r="65" spans="3:4" s="26" customFormat="1" ht="17.45" customHeight="1" x14ac:dyDescent="0.25"/>
    <row r="66" spans="3:4" ht="17.25" x14ac:dyDescent="0.3">
      <c r="C66" s="5"/>
      <c r="D66" s="5"/>
    </row>
    <row r="67" spans="3:4" ht="17.25" x14ac:dyDescent="0.3">
      <c r="C67" s="5"/>
      <c r="D67" s="5"/>
    </row>
    <row r="68" spans="3:4" ht="17.25" x14ac:dyDescent="0.3">
      <c r="C68" s="5"/>
      <c r="D68" s="5"/>
    </row>
    <row r="69" spans="3:4" ht="12.75" customHeight="1" x14ac:dyDescent="0.3">
      <c r="C69" s="5"/>
      <c r="D69" s="5"/>
    </row>
    <row r="70" spans="3:4" ht="17.25" x14ac:dyDescent="0.3">
      <c r="C70" s="5"/>
      <c r="D70" s="5"/>
    </row>
    <row r="71" spans="3:4" ht="14.25" customHeight="1" x14ac:dyDescent="0.3">
      <c r="C71" s="5"/>
      <c r="D71" s="5"/>
    </row>
    <row r="72" spans="3:4" ht="12.75" customHeight="1" x14ac:dyDescent="0.3">
      <c r="C72" s="5"/>
      <c r="D72" s="5"/>
    </row>
  </sheetData>
  <sheetProtection selectLockedCells="1" selectUnlockedCells="1"/>
  <mergeCells count="36">
    <mergeCell ref="U35:Z35"/>
    <mergeCell ref="U36:Z36"/>
    <mergeCell ref="U37:Z37"/>
    <mergeCell ref="U42:Z42"/>
    <mergeCell ref="U43:Z43"/>
    <mergeCell ref="U57:Z57"/>
    <mergeCell ref="U56:Z56"/>
    <mergeCell ref="C61:D61"/>
    <mergeCell ref="U38:Z38"/>
    <mergeCell ref="U39:Z39"/>
    <mergeCell ref="U40:Z40"/>
    <mergeCell ref="U41:Z41"/>
    <mergeCell ref="U45:Z45"/>
    <mergeCell ref="U44:Z44"/>
    <mergeCell ref="U33:Z33"/>
    <mergeCell ref="U34:Z34"/>
    <mergeCell ref="C20:C23"/>
    <mergeCell ref="D20:D23"/>
    <mergeCell ref="E20:T20"/>
    <mergeCell ref="U20:Z23"/>
    <mergeCell ref="E21:T22"/>
    <mergeCell ref="U32:Z32"/>
    <mergeCell ref="U25:Z25"/>
    <mergeCell ref="U26:Z26"/>
    <mergeCell ref="L17:O17"/>
    <mergeCell ref="L18:O18"/>
    <mergeCell ref="U30:Z30"/>
    <mergeCell ref="U31:Z31"/>
    <mergeCell ref="A14:Z14"/>
    <mergeCell ref="A15:Z15"/>
    <mergeCell ref="A20:A23"/>
    <mergeCell ref="B20:B23"/>
    <mergeCell ref="U24:Z24"/>
    <mergeCell ref="U27:Z27"/>
    <mergeCell ref="U28:Z28"/>
    <mergeCell ref="U29:Z29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Views>
    <sheetView view="pageBreakPreview" topLeftCell="A49" zoomScale="78" zoomScaleNormal="75" zoomScaleSheetLayoutView="78" workbookViewId="0">
      <selection activeCell="C53" sqref="C53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7.100000000000001" customHeight="1" x14ac:dyDescent="0.2"/>
    <row r="14" spans="1:26" ht="19.5" customHeight="1" x14ac:dyDescent="0.2">
      <c r="A14" s="147" t="s">
        <v>13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20.100000000000001" customHeight="1" x14ac:dyDescent="0.2">
      <c r="A15" s="147" t="s">
        <v>29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12.6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0"/>
      <c r="X16" s="10"/>
      <c r="Y16" s="10"/>
      <c r="Z16" s="10"/>
    </row>
    <row r="17" spans="1:26" ht="17.100000000000001" customHeight="1" x14ac:dyDescent="0.25">
      <c r="A17" s="38"/>
      <c r="B17" s="38"/>
      <c r="C17" s="38"/>
      <c r="D17" s="38"/>
      <c r="E17" s="110"/>
      <c r="F17" s="110"/>
      <c r="G17" s="110"/>
      <c r="N17" s="38" t="s">
        <v>0</v>
      </c>
      <c r="O17" s="38"/>
      <c r="P17" s="38"/>
      <c r="Q17" s="38"/>
      <c r="R17" s="43" t="s">
        <v>27</v>
      </c>
      <c r="S17" s="43"/>
      <c r="T17" s="39"/>
      <c r="U17" s="39"/>
      <c r="V17" s="39"/>
      <c r="W17" s="63"/>
      <c r="X17" s="39"/>
      <c r="Y17" s="39"/>
      <c r="Z17" s="39"/>
    </row>
    <row r="18" spans="1:26" ht="17.100000000000001" customHeight="1" x14ac:dyDescent="0.25">
      <c r="A18" s="64" t="s">
        <v>15</v>
      </c>
      <c r="B18" s="38"/>
      <c r="C18" s="38"/>
      <c r="D18" s="38"/>
      <c r="E18" s="110"/>
      <c r="F18" s="110"/>
      <c r="G18" s="110"/>
      <c r="N18" s="38" t="s">
        <v>1</v>
      </c>
      <c r="O18" s="38"/>
      <c r="P18" s="38"/>
      <c r="Q18" s="38"/>
      <c r="R18" s="43" t="s">
        <v>318</v>
      </c>
      <c r="S18" s="39"/>
      <c r="T18" s="39"/>
      <c r="U18" s="39"/>
      <c r="V18" s="39"/>
      <c r="W18" s="39"/>
      <c r="X18" s="39"/>
      <c r="Y18" s="39"/>
      <c r="Z18" s="39"/>
    </row>
    <row r="19" spans="1:26" ht="12.6" customHeight="1" x14ac:dyDescent="0.2">
      <c r="M19" s="2"/>
    </row>
    <row r="20" spans="1:26" ht="20.100000000000001" customHeight="1" x14ac:dyDescent="0.2">
      <c r="A20" s="151" t="s">
        <v>2</v>
      </c>
      <c r="B20" s="151" t="s">
        <v>3</v>
      </c>
      <c r="C20" s="151" t="s">
        <v>4</v>
      </c>
      <c r="D20" s="151" t="s">
        <v>5</v>
      </c>
      <c r="E20" s="156" t="s">
        <v>6</v>
      </c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2" t="s">
        <v>14</v>
      </c>
      <c r="V20" s="153"/>
      <c r="W20" s="153"/>
      <c r="X20" s="153"/>
      <c r="Y20" s="153"/>
      <c r="Z20" s="162"/>
    </row>
    <row r="21" spans="1:26" ht="12.6" customHeight="1" x14ac:dyDescent="0.2">
      <c r="A21" s="151"/>
      <c r="B21" s="151"/>
      <c r="C21" s="151"/>
      <c r="D21" s="151"/>
      <c r="E21" s="152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64"/>
      <c r="V21" s="165"/>
      <c r="W21" s="165"/>
      <c r="X21" s="165"/>
      <c r="Y21" s="165"/>
      <c r="Z21" s="166"/>
    </row>
    <row r="22" spans="1:26" ht="12.6" customHeight="1" x14ac:dyDescent="0.2">
      <c r="A22" s="151"/>
      <c r="B22" s="151"/>
      <c r="C22" s="151"/>
      <c r="D22" s="151"/>
      <c r="E22" s="167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4"/>
      <c r="V22" s="165"/>
      <c r="W22" s="165"/>
      <c r="X22" s="165"/>
      <c r="Y22" s="165"/>
      <c r="Z22" s="166"/>
    </row>
    <row r="23" spans="1:26" ht="20.100000000000001" customHeight="1" x14ac:dyDescent="0.2">
      <c r="A23" s="151"/>
      <c r="B23" s="151"/>
      <c r="C23" s="151"/>
      <c r="D23" s="151"/>
      <c r="E23" s="67">
        <v>1</v>
      </c>
      <c r="F23" s="40">
        <v>2</v>
      </c>
      <c r="G23" s="40">
        <v>3</v>
      </c>
      <c r="H23" s="40">
        <v>4</v>
      </c>
      <c r="I23" s="40">
        <v>5</v>
      </c>
      <c r="J23" s="40">
        <v>6</v>
      </c>
      <c r="K23" s="40">
        <v>7</v>
      </c>
      <c r="L23" s="40">
        <v>8</v>
      </c>
      <c r="M23" s="40">
        <v>9</v>
      </c>
      <c r="N23" s="40">
        <v>10</v>
      </c>
      <c r="O23" s="40">
        <v>11</v>
      </c>
      <c r="P23" s="40">
        <v>12</v>
      </c>
      <c r="Q23" s="40">
        <v>13</v>
      </c>
      <c r="R23" s="40">
        <v>14</v>
      </c>
      <c r="S23" s="40">
        <v>15</v>
      </c>
      <c r="T23" s="68">
        <v>16</v>
      </c>
      <c r="U23" s="167"/>
      <c r="V23" s="168"/>
      <c r="W23" s="168"/>
      <c r="X23" s="168"/>
      <c r="Y23" s="168"/>
      <c r="Z23" s="169"/>
    </row>
    <row r="24" spans="1:26" s="3" customFormat="1" ht="30" customHeight="1" x14ac:dyDescent="0.2">
      <c r="A24" s="17">
        <v>1</v>
      </c>
      <c r="B24" s="106">
        <v>12212</v>
      </c>
      <c r="C24" s="31" t="s">
        <v>234</v>
      </c>
      <c r="D24" s="32" t="s">
        <v>7</v>
      </c>
      <c r="E24" s="85">
        <v>1</v>
      </c>
      <c r="F24" s="85"/>
      <c r="G24" s="85"/>
      <c r="H24" s="86"/>
      <c r="I24" s="86"/>
      <c r="J24" s="86"/>
      <c r="K24" s="86"/>
      <c r="L24" s="86"/>
      <c r="M24" s="85"/>
      <c r="N24" s="85"/>
      <c r="O24" s="85"/>
      <c r="P24" s="85">
        <v>1</v>
      </c>
      <c r="Q24" s="85"/>
      <c r="R24" s="85"/>
      <c r="S24" s="85"/>
      <c r="T24" s="86">
        <v>1</v>
      </c>
      <c r="U24" s="181">
        <v>1</v>
      </c>
      <c r="V24" s="181"/>
      <c r="W24" s="181"/>
      <c r="X24" s="181"/>
      <c r="Y24" s="181"/>
      <c r="Z24" s="181"/>
    </row>
    <row r="25" spans="1:26" s="3" customFormat="1" ht="30" customHeight="1" x14ac:dyDescent="0.2">
      <c r="A25" s="17">
        <v>2</v>
      </c>
      <c r="B25" s="106">
        <v>12213</v>
      </c>
      <c r="C25" s="31" t="s">
        <v>235</v>
      </c>
      <c r="D25" s="32" t="s">
        <v>8</v>
      </c>
      <c r="E25" s="85"/>
      <c r="F25" s="85"/>
      <c r="G25" s="85"/>
      <c r="H25" s="86"/>
      <c r="I25" s="86"/>
      <c r="J25" s="86"/>
      <c r="K25" s="86"/>
      <c r="L25" s="86"/>
      <c r="M25" s="85"/>
      <c r="N25" s="85"/>
      <c r="O25" s="85"/>
      <c r="P25" s="85">
        <v>1</v>
      </c>
      <c r="Q25" s="85"/>
      <c r="R25" s="85"/>
      <c r="S25" s="85"/>
      <c r="T25" s="86">
        <v>1</v>
      </c>
      <c r="U25" s="181">
        <v>1</v>
      </c>
      <c r="V25" s="181"/>
      <c r="W25" s="181"/>
      <c r="X25" s="181"/>
      <c r="Y25" s="181"/>
      <c r="Z25" s="181"/>
    </row>
    <row r="26" spans="1:26" s="3" customFormat="1" ht="30" customHeight="1" x14ac:dyDescent="0.2">
      <c r="A26" s="17">
        <v>3</v>
      </c>
      <c r="B26" s="106">
        <v>12215</v>
      </c>
      <c r="C26" s="31" t="s">
        <v>236</v>
      </c>
      <c r="D26" s="32" t="s">
        <v>7</v>
      </c>
      <c r="E26" s="85"/>
      <c r="F26" s="85"/>
      <c r="G26" s="85"/>
      <c r="H26" s="86"/>
      <c r="I26" s="86"/>
      <c r="J26" s="86"/>
      <c r="K26" s="86"/>
      <c r="L26" s="86"/>
      <c r="M26" s="85"/>
      <c r="N26" s="85"/>
      <c r="O26" s="85"/>
      <c r="P26" s="85">
        <v>1</v>
      </c>
      <c r="Q26" s="85"/>
      <c r="R26" s="85"/>
      <c r="S26" s="85"/>
      <c r="T26" s="86">
        <v>1</v>
      </c>
      <c r="U26" s="181">
        <v>1</v>
      </c>
      <c r="V26" s="181"/>
      <c r="W26" s="181"/>
      <c r="X26" s="181"/>
      <c r="Y26" s="181"/>
      <c r="Z26" s="181"/>
    </row>
    <row r="27" spans="1:26" s="3" customFormat="1" ht="30" customHeight="1" x14ac:dyDescent="0.2">
      <c r="A27" s="17">
        <v>4</v>
      </c>
      <c r="B27" s="106">
        <v>12218</v>
      </c>
      <c r="C27" s="31" t="s">
        <v>237</v>
      </c>
      <c r="D27" s="32" t="s">
        <v>7</v>
      </c>
      <c r="E27" s="85"/>
      <c r="F27" s="85"/>
      <c r="G27" s="85"/>
      <c r="H27" s="86"/>
      <c r="I27" s="86"/>
      <c r="J27" s="86"/>
      <c r="K27" s="86"/>
      <c r="L27" s="86"/>
      <c r="M27" s="85"/>
      <c r="N27" s="85"/>
      <c r="O27" s="85"/>
      <c r="P27" s="85">
        <v>1</v>
      </c>
      <c r="Q27" s="85"/>
      <c r="R27" s="85"/>
      <c r="S27" s="85"/>
      <c r="T27" s="86">
        <v>1</v>
      </c>
      <c r="U27" s="181">
        <v>1</v>
      </c>
      <c r="V27" s="181"/>
      <c r="W27" s="181"/>
      <c r="X27" s="181"/>
      <c r="Y27" s="181"/>
      <c r="Z27" s="181"/>
    </row>
    <row r="28" spans="1:26" s="3" customFormat="1" ht="30" customHeight="1" x14ac:dyDescent="0.2">
      <c r="A28" s="17">
        <v>5</v>
      </c>
      <c r="B28" s="106">
        <v>12228</v>
      </c>
      <c r="C28" s="31" t="s">
        <v>238</v>
      </c>
      <c r="D28" s="32" t="s">
        <v>7</v>
      </c>
      <c r="E28" s="85"/>
      <c r="F28" s="85"/>
      <c r="G28" s="85"/>
      <c r="H28" s="86"/>
      <c r="I28" s="86"/>
      <c r="J28" s="86"/>
      <c r="K28" s="86"/>
      <c r="L28" s="86"/>
      <c r="M28" s="85"/>
      <c r="N28" s="85"/>
      <c r="O28" s="85"/>
      <c r="P28" s="85">
        <v>1</v>
      </c>
      <c r="Q28" s="85"/>
      <c r="R28" s="85"/>
      <c r="S28" s="85"/>
      <c r="T28" s="86">
        <v>1</v>
      </c>
      <c r="U28" s="181">
        <v>1</v>
      </c>
      <c r="V28" s="181"/>
      <c r="W28" s="181"/>
      <c r="X28" s="181"/>
      <c r="Y28" s="181"/>
      <c r="Z28" s="181"/>
    </row>
    <row r="29" spans="1:26" s="3" customFormat="1" ht="30" customHeight="1" x14ac:dyDescent="0.2">
      <c r="A29" s="17">
        <v>6</v>
      </c>
      <c r="B29" s="106">
        <v>12253</v>
      </c>
      <c r="C29" s="31" t="s">
        <v>239</v>
      </c>
      <c r="D29" s="32" t="s">
        <v>7</v>
      </c>
      <c r="E29" s="85"/>
      <c r="F29" s="85"/>
      <c r="G29" s="85"/>
      <c r="H29" s="86"/>
      <c r="I29" s="86"/>
      <c r="J29" s="86"/>
      <c r="K29" s="86"/>
      <c r="L29" s="86"/>
      <c r="M29" s="85"/>
      <c r="N29" s="85"/>
      <c r="O29" s="85"/>
      <c r="P29" s="85">
        <v>1</v>
      </c>
      <c r="Q29" s="85"/>
      <c r="R29" s="85"/>
      <c r="S29" s="85"/>
      <c r="T29" s="86">
        <v>1</v>
      </c>
      <c r="U29" s="181">
        <v>1</v>
      </c>
      <c r="V29" s="181"/>
      <c r="W29" s="181"/>
      <c r="X29" s="181"/>
      <c r="Y29" s="181"/>
      <c r="Z29" s="181"/>
    </row>
    <row r="30" spans="1:26" s="3" customFormat="1" ht="30" customHeight="1" x14ac:dyDescent="0.2">
      <c r="A30" s="17">
        <v>7</v>
      </c>
      <c r="B30" s="106">
        <v>12254</v>
      </c>
      <c r="C30" s="31" t="s">
        <v>240</v>
      </c>
      <c r="D30" s="32" t="s">
        <v>7</v>
      </c>
      <c r="E30" s="85"/>
      <c r="F30" s="85"/>
      <c r="G30" s="85"/>
      <c r="H30" s="86"/>
      <c r="I30" s="86"/>
      <c r="J30" s="86"/>
      <c r="K30" s="86"/>
      <c r="L30" s="86"/>
      <c r="M30" s="85"/>
      <c r="N30" s="85"/>
      <c r="O30" s="85"/>
      <c r="P30" s="85">
        <v>1</v>
      </c>
      <c r="Q30" s="85"/>
      <c r="R30" s="85"/>
      <c r="S30" s="85"/>
      <c r="T30" s="86">
        <v>1</v>
      </c>
      <c r="U30" s="181">
        <v>1</v>
      </c>
      <c r="V30" s="181"/>
      <c r="W30" s="181"/>
      <c r="X30" s="181"/>
      <c r="Y30" s="181"/>
      <c r="Z30" s="181"/>
    </row>
    <row r="31" spans="1:26" s="3" customFormat="1" ht="30" customHeight="1" x14ac:dyDescent="0.2">
      <c r="A31" s="17">
        <v>8</v>
      </c>
      <c r="B31" s="106">
        <v>12258</v>
      </c>
      <c r="C31" s="33" t="s">
        <v>241</v>
      </c>
      <c r="D31" s="34" t="s">
        <v>7</v>
      </c>
      <c r="E31" s="85"/>
      <c r="F31" s="85"/>
      <c r="G31" s="85"/>
      <c r="H31" s="86"/>
      <c r="I31" s="86"/>
      <c r="J31" s="86"/>
      <c r="K31" s="86"/>
      <c r="L31" s="86"/>
      <c r="M31" s="85"/>
      <c r="N31" s="85"/>
      <c r="O31" s="85"/>
      <c r="P31" s="85">
        <v>1</v>
      </c>
      <c r="Q31" s="85"/>
      <c r="R31" s="85"/>
      <c r="S31" s="85"/>
      <c r="T31" s="86">
        <v>1</v>
      </c>
      <c r="U31" s="181">
        <v>1</v>
      </c>
      <c r="V31" s="181"/>
      <c r="W31" s="181"/>
      <c r="X31" s="181"/>
      <c r="Y31" s="181"/>
      <c r="Z31" s="181"/>
    </row>
    <row r="32" spans="1:26" s="3" customFormat="1" ht="30" customHeight="1" x14ac:dyDescent="0.2">
      <c r="A32" s="17">
        <v>9</v>
      </c>
      <c r="B32" s="106">
        <v>12267</v>
      </c>
      <c r="C32" s="33" t="s">
        <v>242</v>
      </c>
      <c r="D32" s="34" t="s">
        <v>8</v>
      </c>
      <c r="E32" s="85"/>
      <c r="F32" s="85"/>
      <c r="G32" s="85"/>
      <c r="H32" s="86"/>
      <c r="I32" s="86"/>
      <c r="J32" s="86"/>
      <c r="K32" s="86"/>
      <c r="L32" s="86"/>
      <c r="M32" s="85"/>
      <c r="N32" s="85"/>
      <c r="O32" s="85"/>
      <c r="P32" s="85">
        <v>1</v>
      </c>
      <c r="Q32" s="85"/>
      <c r="R32" s="85"/>
      <c r="S32" s="85"/>
      <c r="T32" s="86">
        <v>1</v>
      </c>
      <c r="U32" s="181">
        <v>1</v>
      </c>
      <c r="V32" s="181"/>
      <c r="W32" s="181"/>
      <c r="X32" s="181"/>
      <c r="Y32" s="181"/>
      <c r="Z32" s="181"/>
    </row>
    <row r="33" spans="1:26" s="3" customFormat="1" ht="30" customHeight="1" x14ac:dyDescent="0.2">
      <c r="A33" s="17">
        <v>10</v>
      </c>
      <c r="B33" s="106">
        <v>12271</v>
      </c>
      <c r="C33" s="112" t="s">
        <v>243</v>
      </c>
      <c r="D33" s="32" t="s">
        <v>7</v>
      </c>
      <c r="E33" s="85"/>
      <c r="F33" s="85"/>
      <c r="G33" s="85"/>
      <c r="H33" s="86"/>
      <c r="I33" s="86"/>
      <c r="J33" s="86"/>
      <c r="K33" s="86"/>
      <c r="L33" s="86"/>
      <c r="M33" s="85"/>
      <c r="N33" s="85"/>
      <c r="O33" s="85"/>
      <c r="P33" s="85">
        <v>1</v>
      </c>
      <c r="Q33" s="85"/>
      <c r="R33" s="85"/>
      <c r="S33" s="85"/>
      <c r="T33" s="86">
        <v>1</v>
      </c>
      <c r="U33" s="181">
        <v>1</v>
      </c>
      <c r="V33" s="181"/>
      <c r="W33" s="181"/>
      <c r="X33" s="181"/>
      <c r="Y33" s="181"/>
      <c r="Z33" s="181"/>
    </row>
    <row r="34" spans="1:26" s="3" customFormat="1" ht="30" customHeight="1" x14ac:dyDescent="0.2">
      <c r="A34" s="17">
        <v>11</v>
      </c>
      <c r="B34" s="106">
        <v>12279</v>
      </c>
      <c r="C34" s="31" t="s">
        <v>244</v>
      </c>
      <c r="D34" s="32" t="s">
        <v>8</v>
      </c>
      <c r="E34" s="85"/>
      <c r="F34" s="85"/>
      <c r="G34" s="85"/>
      <c r="H34" s="86"/>
      <c r="I34" s="86"/>
      <c r="J34" s="86"/>
      <c r="K34" s="86"/>
      <c r="L34" s="86"/>
      <c r="M34" s="85"/>
      <c r="N34" s="85"/>
      <c r="O34" s="85"/>
      <c r="P34" s="85">
        <v>1</v>
      </c>
      <c r="Q34" s="85"/>
      <c r="R34" s="85"/>
      <c r="S34" s="85"/>
      <c r="T34" s="86">
        <v>1</v>
      </c>
      <c r="U34" s="181">
        <v>1</v>
      </c>
      <c r="V34" s="181"/>
      <c r="W34" s="181"/>
      <c r="X34" s="181"/>
      <c r="Y34" s="181"/>
      <c r="Z34" s="181"/>
    </row>
    <row r="35" spans="1:26" s="3" customFormat="1" ht="30" customHeight="1" x14ac:dyDescent="0.2">
      <c r="A35" s="17">
        <v>12</v>
      </c>
      <c r="B35" s="106">
        <v>12283</v>
      </c>
      <c r="C35" s="31" t="s">
        <v>245</v>
      </c>
      <c r="D35" s="32" t="s">
        <v>7</v>
      </c>
      <c r="E35" s="85"/>
      <c r="F35" s="85"/>
      <c r="G35" s="85"/>
      <c r="H35" s="86"/>
      <c r="I35" s="86"/>
      <c r="J35" s="86"/>
      <c r="K35" s="86"/>
      <c r="L35" s="86"/>
      <c r="M35" s="85"/>
      <c r="N35" s="85"/>
      <c r="O35" s="85"/>
      <c r="P35" s="85">
        <v>1</v>
      </c>
      <c r="Q35" s="85"/>
      <c r="R35" s="85"/>
      <c r="S35" s="85"/>
      <c r="T35" s="86">
        <v>1</v>
      </c>
      <c r="U35" s="181">
        <v>1</v>
      </c>
      <c r="V35" s="181"/>
      <c r="W35" s="181"/>
      <c r="X35" s="181"/>
      <c r="Y35" s="181"/>
      <c r="Z35" s="181"/>
    </row>
    <row r="36" spans="1:26" s="3" customFormat="1" ht="30" customHeight="1" x14ac:dyDescent="0.2">
      <c r="A36" s="17">
        <v>13</v>
      </c>
      <c r="B36" s="106">
        <v>12303</v>
      </c>
      <c r="C36" s="129" t="s">
        <v>246</v>
      </c>
      <c r="D36" s="34" t="s">
        <v>7</v>
      </c>
      <c r="E36" s="85"/>
      <c r="F36" s="85"/>
      <c r="G36" s="85"/>
      <c r="H36" s="86"/>
      <c r="I36" s="86"/>
      <c r="J36" s="86"/>
      <c r="K36" s="86"/>
      <c r="L36" s="86"/>
      <c r="M36" s="85"/>
      <c r="N36" s="85"/>
      <c r="O36" s="85"/>
      <c r="P36" s="85">
        <v>1</v>
      </c>
      <c r="Q36" s="85"/>
      <c r="R36" s="85"/>
      <c r="S36" s="85"/>
      <c r="T36" s="86">
        <v>1</v>
      </c>
      <c r="U36" s="181">
        <v>1</v>
      </c>
      <c r="V36" s="181"/>
      <c r="W36" s="181"/>
      <c r="X36" s="181"/>
      <c r="Y36" s="181"/>
      <c r="Z36" s="181"/>
    </row>
    <row r="37" spans="1:26" s="3" customFormat="1" ht="30" customHeight="1" x14ac:dyDescent="0.2">
      <c r="A37" s="17">
        <v>14</v>
      </c>
      <c r="B37" s="106">
        <v>12315</v>
      </c>
      <c r="C37" s="129" t="s">
        <v>247</v>
      </c>
      <c r="D37" s="34" t="s">
        <v>7</v>
      </c>
      <c r="E37" s="85"/>
      <c r="F37" s="85"/>
      <c r="G37" s="85"/>
      <c r="H37" s="86"/>
      <c r="I37" s="86"/>
      <c r="J37" s="86"/>
      <c r="K37" s="86"/>
      <c r="L37" s="86"/>
      <c r="M37" s="85"/>
      <c r="N37" s="85"/>
      <c r="O37" s="85"/>
      <c r="P37" s="85">
        <v>1</v>
      </c>
      <c r="Q37" s="85"/>
      <c r="R37" s="85"/>
      <c r="S37" s="85"/>
      <c r="T37" s="86">
        <v>1</v>
      </c>
      <c r="U37" s="181">
        <v>1</v>
      </c>
      <c r="V37" s="181"/>
      <c r="W37" s="181"/>
      <c r="X37" s="181"/>
      <c r="Y37" s="181"/>
      <c r="Z37" s="181"/>
    </row>
    <row r="38" spans="1:26" s="3" customFormat="1" ht="30" customHeight="1" x14ac:dyDescent="0.2">
      <c r="A38" s="17">
        <v>15</v>
      </c>
      <c r="B38" s="106">
        <v>12328</v>
      </c>
      <c r="C38" s="31" t="s">
        <v>248</v>
      </c>
      <c r="D38" s="32" t="s">
        <v>7</v>
      </c>
      <c r="E38" s="85"/>
      <c r="F38" s="85"/>
      <c r="G38" s="85"/>
      <c r="H38" s="86"/>
      <c r="I38" s="86"/>
      <c r="J38" s="86"/>
      <c r="K38" s="86"/>
      <c r="L38" s="86"/>
      <c r="M38" s="85"/>
      <c r="N38" s="85"/>
      <c r="O38" s="85"/>
      <c r="P38" s="85">
        <v>1</v>
      </c>
      <c r="Q38" s="85"/>
      <c r="R38" s="85"/>
      <c r="S38" s="85"/>
      <c r="T38" s="86">
        <v>1</v>
      </c>
      <c r="U38" s="181">
        <v>1</v>
      </c>
      <c r="V38" s="181"/>
      <c r="W38" s="181"/>
      <c r="X38" s="181"/>
      <c r="Y38" s="181"/>
      <c r="Z38" s="181"/>
    </row>
    <row r="39" spans="1:26" s="3" customFormat="1" ht="30" customHeight="1" x14ac:dyDescent="0.2">
      <c r="A39" s="17">
        <v>16</v>
      </c>
      <c r="B39" s="106">
        <v>12329</v>
      </c>
      <c r="C39" s="31" t="s">
        <v>249</v>
      </c>
      <c r="D39" s="32" t="s">
        <v>8</v>
      </c>
      <c r="E39" s="85"/>
      <c r="F39" s="85"/>
      <c r="G39" s="85"/>
      <c r="H39" s="86"/>
      <c r="I39" s="86"/>
      <c r="J39" s="86"/>
      <c r="K39" s="86"/>
      <c r="L39" s="86"/>
      <c r="M39" s="85"/>
      <c r="N39" s="85"/>
      <c r="O39" s="85"/>
      <c r="P39" s="85">
        <v>1</v>
      </c>
      <c r="Q39" s="85"/>
      <c r="R39" s="85"/>
      <c r="S39" s="85"/>
      <c r="T39" s="86">
        <v>1</v>
      </c>
      <c r="U39" s="181">
        <v>1</v>
      </c>
      <c r="V39" s="181"/>
      <c r="W39" s="181"/>
      <c r="X39" s="181"/>
      <c r="Y39" s="181"/>
      <c r="Z39" s="181"/>
    </row>
    <row r="40" spans="1:26" s="3" customFormat="1" ht="30" customHeight="1" x14ac:dyDescent="0.2">
      <c r="A40" s="17">
        <v>17</v>
      </c>
      <c r="B40" s="106">
        <v>12366</v>
      </c>
      <c r="C40" s="69" t="s">
        <v>250</v>
      </c>
      <c r="D40" s="34" t="s">
        <v>7</v>
      </c>
      <c r="E40" s="85"/>
      <c r="F40" s="85"/>
      <c r="G40" s="85"/>
      <c r="H40" s="86"/>
      <c r="I40" s="86"/>
      <c r="J40" s="86"/>
      <c r="K40" s="86"/>
      <c r="L40" s="86"/>
      <c r="M40" s="85"/>
      <c r="N40" s="85"/>
      <c r="O40" s="85"/>
      <c r="P40" s="85">
        <v>1</v>
      </c>
      <c r="Q40" s="85"/>
      <c r="R40" s="85"/>
      <c r="S40" s="85"/>
      <c r="T40" s="86">
        <v>1</v>
      </c>
      <c r="U40" s="181">
        <v>1</v>
      </c>
      <c r="V40" s="181"/>
      <c r="W40" s="181"/>
      <c r="X40" s="181"/>
      <c r="Y40" s="181"/>
      <c r="Z40" s="181"/>
    </row>
    <row r="41" spans="1:26" s="4" customFormat="1" ht="30" customHeight="1" x14ac:dyDescent="0.2">
      <c r="A41" s="17">
        <v>18</v>
      </c>
      <c r="B41" s="106">
        <v>12370</v>
      </c>
      <c r="C41" s="31" t="s">
        <v>252</v>
      </c>
      <c r="D41" s="32" t="s">
        <v>7</v>
      </c>
      <c r="E41" s="85"/>
      <c r="F41" s="85"/>
      <c r="G41" s="85"/>
      <c r="H41" s="86"/>
      <c r="I41" s="86"/>
      <c r="J41" s="86"/>
      <c r="K41" s="86"/>
      <c r="L41" s="86"/>
      <c r="M41" s="85"/>
      <c r="N41" s="85"/>
      <c r="O41" s="85"/>
      <c r="P41" s="85">
        <v>1</v>
      </c>
      <c r="Q41" s="85"/>
      <c r="R41" s="85"/>
      <c r="S41" s="85"/>
      <c r="T41" s="86">
        <v>1</v>
      </c>
      <c r="U41" s="192"/>
      <c r="V41" s="193"/>
      <c r="W41" s="193"/>
      <c r="X41" s="193"/>
      <c r="Y41" s="193"/>
      <c r="Z41" s="194"/>
    </row>
    <row r="42" spans="1:26" s="4" customFormat="1" ht="30" customHeight="1" x14ac:dyDescent="0.2">
      <c r="A42" s="17">
        <v>19</v>
      </c>
      <c r="B42" s="106">
        <v>12376</v>
      </c>
      <c r="C42" s="31" t="s">
        <v>253</v>
      </c>
      <c r="D42" s="32" t="s">
        <v>7</v>
      </c>
      <c r="E42" s="85"/>
      <c r="F42" s="85"/>
      <c r="G42" s="85"/>
      <c r="H42" s="86"/>
      <c r="I42" s="86"/>
      <c r="J42" s="86"/>
      <c r="K42" s="86"/>
      <c r="L42" s="86"/>
      <c r="M42" s="85"/>
      <c r="N42" s="85"/>
      <c r="O42" s="85"/>
      <c r="P42" s="85">
        <v>1</v>
      </c>
      <c r="Q42" s="85"/>
      <c r="R42" s="85"/>
      <c r="S42" s="85"/>
      <c r="T42" s="86">
        <v>1</v>
      </c>
      <c r="U42" s="192"/>
      <c r="V42" s="193"/>
      <c r="W42" s="193"/>
      <c r="X42" s="193"/>
      <c r="Y42" s="193"/>
      <c r="Z42" s="194"/>
    </row>
    <row r="43" spans="1:26" s="4" customFormat="1" ht="30" customHeight="1" x14ac:dyDescent="0.2">
      <c r="A43" s="17">
        <v>20</v>
      </c>
      <c r="B43" s="106">
        <v>12377</v>
      </c>
      <c r="C43" s="33" t="s">
        <v>254</v>
      </c>
      <c r="D43" s="34" t="s">
        <v>7</v>
      </c>
      <c r="E43" s="85"/>
      <c r="F43" s="85"/>
      <c r="G43" s="85"/>
      <c r="H43" s="86"/>
      <c r="I43" s="86"/>
      <c r="J43" s="86"/>
      <c r="K43" s="86"/>
      <c r="L43" s="86"/>
      <c r="M43" s="85"/>
      <c r="N43" s="85"/>
      <c r="O43" s="85"/>
      <c r="P43" s="85"/>
      <c r="Q43" s="85"/>
      <c r="R43" s="85"/>
      <c r="S43" s="85"/>
      <c r="T43" s="86"/>
      <c r="U43" s="192"/>
      <c r="V43" s="193"/>
      <c r="W43" s="193"/>
      <c r="X43" s="193"/>
      <c r="Y43" s="193"/>
      <c r="Z43" s="194"/>
    </row>
    <row r="44" spans="1:26" s="4" customFormat="1" ht="30" customHeight="1" x14ac:dyDescent="0.2">
      <c r="A44" s="17">
        <v>21</v>
      </c>
      <c r="B44" s="106">
        <v>12388</v>
      </c>
      <c r="C44" s="31" t="s">
        <v>255</v>
      </c>
      <c r="D44" s="32" t="s">
        <v>8</v>
      </c>
      <c r="E44" s="85"/>
      <c r="F44" s="85"/>
      <c r="G44" s="85"/>
      <c r="H44" s="86"/>
      <c r="I44" s="86"/>
      <c r="J44" s="86"/>
      <c r="K44" s="86"/>
      <c r="L44" s="86"/>
      <c r="M44" s="85"/>
      <c r="N44" s="85"/>
      <c r="O44" s="85"/>
      <c r="P44" s="85"/>
      <c r="Q44" s="85"/>
      <c r="R44" s="85"/>
      <c r="S44" s="85"/>
      <c r="T44" s="86"/>
      <c r="U44" s="192"/>
      <c r="V44" s="193"/>
      <c r="W44" s="193"/>
      <c r="X44" s="193"/>
      <c r="Y44" s="193"/>
      <c r="Z44" s="194"/>
    </row>
    <row r="45" spans="1:26" s="3" customFormat="1" ht="30" customHeight="1" x14ac:dyDescent="0.2">
      <c r="A45" s="17">
        <v>22</v>
      </c>
      <c r="B45" s="106">
        <v>12389</v>
      </c>
      <c r="C45" s="31" t="s">
        <v>256</v>
      </c>
      <c r="D45" s="32" t="s">
        <v>8</v>
      </c>
      <c r="E45" s="85"/>
      <c r="F45" s="85"/>
      <c r="G45" s="85"/>
      <c r="H45" s="86"/>
      <c r="I45" s="86"/>
      <c r="J45" s="86"/>
      <c r="K45" s="86"/>
      <c r="L45" s="86"/>
      <c r="M45" s="85"/>
      <c r="N45" s="85"/>
      <c r="O45" s="85"/>
      <c r="P45" s="85"/>
      <c r="Q45" s="85"/>
      <c r="R45" s="85"/>
      <c r="S45" s="85"/>
      <c r="T45" s="86"/>
      <c r="U45" s="192"/>
      <c r="V45" s="193"/>
      <c r="W45" s="193"/>
      <c r="X45" s="193"/>
      <c r="Y45" s="193"/>
      <c r="Z45" s="194"/>
    </row>
    <row r="46" spans="1:26" s="3" customFormat="1" ht="30" customHeight="1" x14ac:dyDescent="0.2">
      <c r="A46" s="17">
        <v>23</v>
      </c>
      <c r="B46" s="106">
        <v>12391</v>
      </c>
      <c r="C46" s="31" t="s">
        <v>257</v>
      </c>
      <c r="D46" s="32" t="s">
        <v>7</v>
      </c>
      <c r="E46" s="85"/>
      <c r="F46" s="85"/>
      <c r="G46" s="85"/>
      <c r="H46" s="86"/>
      <c r="I46" s="86"/>
      <c r="J46" s="86"/>
      <c r="K46" s="86"/>
      <c r="L46" s="86"/>
      <c r="M46" s="85"/>
      <c r="N46" s="85"/>
      <c r="O46" s="85"/>
      <c r="P46" s="85"/>
      <c r="Q46" s="85"/>
      <c r="R46" s="85"/>
      <c r="S46" s="85"/>
      <c r="T46" s="86"/>
      <c r="U46" s="192"/>
      <c r="V46" s="193"/>
      <c r="W46" s="193"/>
      <c r="X46" s="193"/>
      <c r="Y46" s="193"/>
      <c r="Z46" s="194"/>
    </row>
    <row r="47" spans="1:26" s="3" customFormat="1" ht="30" customHeight="1" x14ac:dyDescent="0.2">
      <c r="A47" s="17">
        <v>24</v>
      </c>
      <c r="B47" s="106">
        <v>12404</v>
      </c>
      <c r="C47" s="31" t="s">
        <v>258</v>
      </c>
      <c r="D47" s="32" t="s">
        <v>8</v>
      </c>
      <c r="E47" s="85"/>
      <c r="F47" s="85"/>
      <c r="G47" s="85"/>
      <c r="H47" s="86"/>
      <c r="I47" s="86"/>
      <c r="J47" s="86"/>
      <c r="K47" s="86"/>
      <c r="L47" s="86"/>
      <c r="M47" s="85"/>
      <c r="N47" s="85"/>
      <c r="O47" s="85"/>
      <c r="P47" s="85"/>
      <c r="Q47" s="85"/>
      <c r="R47" s="85"/>
      <c r="S47" s="85"/>
      <c r="T47" s="86"/>
      <c r="U47" s="87"/>
      <c r="V47" s="88"/>
      <c r="W47" s="88"/>
      <c r="X47" s="88"/>
      <c r="Y47" s="88"/>
      <c r="Z47" s="89"/>
    </row>
    <row r="48" spans="1:26" s="3" customFormat="1" ht="30" customHeight="1" x14ac:dyDescent="0.2">
      <c r="A48" s="17">
        <v>25</v>
      </c>
      <c r="B48" s="106">
        <v>12413</v>
      </c>
      <c r="C48" s="31" t="s">
        <v>259</v>
      </c>
      <c r="D48" s="32" t="s">
        <v>7</v>
      </c>
      <c r="E48" s="85"/>
      <c r="F48" s="85"/>
      <c r="G48" s="85"/>
      <c r="H48" s="86"/>
      <c r="I48" s="86"/>
      <c r="J48" s="86"/>
      <c r="K48" s="86"/>
      <c r="L48" s="86"/>
      <c r="M48" s="85"/>
      <c r="N48" s="85"/>
      <c r="O48" s="85"/>
      <c r="P48" s="85"/>
      <c r="Q48" s="85"/>
      <c r="R48" s="85"/>
      <c r="S48" s="85"/>
      <c r="T48" s="86"/>
      <c r="U48" s="87"/>
      <c r="V48" s="88"/>
      <c r="W48" s="88"/>
      <c r="X48" s="88"/>
      <c r="Y48" s="88"/>
      <c r="Z48" s="89"/>
    </row>
    <row r="49" spans="1:26" s="3" customFormat="1" ht="30" customHeight="1" x14ac:dyDescent="0.2">
      <c r="A49" s="17">
        <v>26</v>
      </c>
      <c r="B49" s="106">
        <v>12421</v>
      </c>
      <c r="C49" s="31" t="s">
        <v>260</v>
      </c>
      <c r="D49" s="32" t="s">
        <v>7</v>
      </c>
      <c r="E49" s="85"/>
      <c r="F49" s="85"/>
      <c r="G49" s="85"/>
      <c r="H49" s="86"/>
      <c r="I49" s="86"/>
      <c r="J49" s="86"/>
      <c r="K49" s="86"/>
      <c r="L49" s="86"/>
      <c r="M49" s="85"/>
      <c r="N49" s="85"/>
      <c r="O49" s="85"/>
      <c r="P49" s="85"/>
      <c r="Q49" s="85"/>
      <c r="R49" s="85"/>
      <c r="S49" s="85"/>
      <c r="T49" s="86"/>
      <c r="U49" s="87"/>
      <c r="V49" s="88"/>
      <c r="W49" s="88"/>
      <c r="X49" s="88"/>
      <c r="Y49" s="88"/>
      <c r="Z49" s="89"/>
    </row>
    <row r="50" spans="1:26" s="3" customFormat="1" ht="30" customHeight="1" x14ac:dyDescent="0.2">
      <c r="A50" s="17">
        <v>27</v>
      </c>
      <c r="B50" s="106">
        <v>12425</v>
      </c>
      <c r="C50" s="33" t="s">
        <v>261</v>
      </c>
      <c r="D50" s="32" t="s">
        <v>7</v>
      </c>
      <c r="E50" s="85"/>
      <c r="F50" s="85"/>
      <c r="G50" s="85"/>
      <c r="H50" s="86"/>
      <c r="I50" s="86"/>
      <c r="J50" s="86"/>
      <c r="K50" s="86"/>
      <c r="L50" s="86"/>
      <c r="M50" s="85"/>
      <c r="N50" s="85"/>
      <c r="O50" s="85"/>
      <c r="P50" s="85"/>
      <c r="Q50" s="85"/>
      <c r="R50" s="85"/>
      <c r="S50" s="85"/>
      <c r="T50" s="86"/>
      <c r="U50" s="87"/>
      <c r="V50" s="88"/>
      <c r="W50" s="88"/>
      <c r="X50" s="88"/>
      <c r="Y50" s="88"/>
      <c r="Z50" s="89"/>
    </row>
    <row r="51" spans="1:26" s="3" customFormat="1" ht="30" customHeight="1" x14ac:dyDescent="0.2">
      <c r="A51" s="17">
        <v>28</v>
      </c>
      <c r="B51" s="106">
        <v>12443</v>
      </c>
      <c r="C51" s="33" t="s">
        <v>262</v>
      </c>
      <c r="D51" s="32" t="s">
        <v>8</v>
      </c>
      <c r="E51" s="85"/>
      <c r="F51" s="85"/>
      <c r="G51" s="85"/>
      <c r="H51" s="86"/>
      <c r="I51" s="86"/>
      <c r="J51" s="86"/>
      <c r="K51" s="86"/>
      <c r="L51" s="86"/>
      <c r="M51" s="85"/>
      <c r="N51" s="85"/>
      <c r="O51" s="85"/>
      <c r="P51" s="85"/>
      <c r="Q51" s="85"/>
      <c r="R51" s="85"/>
      <c r="S51" s="85"/>
      <c r="T51" s="86"/>
      <c r="U51" s="87"/>
      <c r="V51" s="88"/>
      <c r="W51" s="88"/>
      <c r="X51" s="88"/>
      <c r="Y51" s="88"/>
      <c r="Z51" s="89"/>
    </row>
    <row r="52" spans="1:26" s="3" customFormat="1" ht="30" customHeight="1" x14ac:dyDescent="0.2">
      <c r="A52" s="17">
        <v>29</v>
      </c>
      <c r="B52" s="106">
        <v>12446</v>
      </c>
      <c r="C52" s="33" t="s">
        <v>263</v>
      </c>
      <c r="D52" s="32" t="s">
        <v>8</v>
      </c>
      <c r="E52" s="85"/>
      <c r="F52" s="85"/>
      <c r="G52" s="85"/>
      <c r="H52" s="86"/>
      <c r="I52" s="86"/>
      <c r="J52" s="86"/>
      <c r="K52" s="86"/>
      <c r="L52" s="86"/>
      <c r="M52" s="85"/>
      <c r="N52" s="85"/>
      <c r="O52" s="85"/>
      <c r="P52" s="85"/>
      <c r="Q52" s="85"/>
      <c r="R52" s="85"/>
      <c r="S52" s="85"/>
      <c r="T52" s="86"/>
      <c r="U52" s="87"/>
      <c r="V52" s="88"/>
      <c r="W52" s="88"/>
      <c r="X52" s="88"/>
      <c r="Y52" s="88"/>
      <c r="Z52" s="89"/>
    </row>
    <row r="53" spans="1:26" s="3" customFormat="1" ht="30" customHeight="1" x14ac:dyDescent="0.2">
      <c r="A53" s="17">
        <v>30</v>
      </c>
      <c r="B53" s="106">
        <v>12452</v>
      </c>
      <c r="C53" s="33" t="s">
        <v>264</v>
      </c>
      <c r="D53" s="32" t="s">
        <v>8</v>
      </c>
      <c r="E53" s="85"/>
      <c r="F53" s="85"/>
      <c r="G53" s="85"/>
      <c r="H53" s="86"/>
      <c r="I53" s="86"/>
      <c r="J53" s="86"/>
      <c r="K53" s="86"/>
      <c r="L53" s="86"/>
      <c r="M53" s="85"/>
      <c r="N53" s="85"/>
      <c r="O53" s="85"/>
      <c r="P53" s="85"/>
      <c r="Q53" s="85"/>
      <c r="R53" s="85"/>
      <c r="S53" s="85"/>
      <c r="T53" s="86"/>
      <c r="U53" s="87"/>
      <c r="V53" s="88"/>
      <c r="W53" s="88"/>
      <c r="X53" s="88"/>
      <c r="Y53" s="88"/>
      <c r="Z53" s="89"/>
    </row>
    <row r="54" spans="1:26" s="3" customFormat="1" ht="30" customHeight="1" x14ac:dyDescent="0.2">
      <c r="A54" s="17">
        <v>31</v>
      </c>
      <c r="B54" s="106">
        <v>12464</v>
      </c>
      <c r="C54" s="33" t="s">
        <v>265</v>
      </c>
      <c r="D54" s="32" t="s">
        <v>7</v>
      </c>
      <c r="E54" s="85"/>
      <c r="F54" s="85"/>
      <c r="G54" s="85"/>
      <c r="H54" s="86"/>
      <c r="I54" s="86"/>
      <c r="J54" s="86"/>
      <c r="K54" s="86"/>
      <c r="L54" s="86"/>
      <c r="M54" s="85"/>
      <c r="N54" s="85"/>
      <c r="O54" s="85"/>
      <c r="P54" s="85"/>
      <c r="Q54" s="85"/>
      <c r="R54" s="85"/>
      <c r="S54" s="85"/>
      <c r="T54" s="86"/>
      <c r="U54" s="87"/>
      <c r="V54" s="88"/>
      <c r="W54" s="88"/>
      <c r="X54" s="88"/>
      <c r="Y54" s="88"/>
      <c r="Z54" s="89"/>
    </row>
    <row r="55" spans="1:26" s="94" customFormat="1" ht="30" customHeight="1" x14ac:dyDescent="0.2">
      <c r="A55" s="54"/>
      <c r="B55" s="54"/>
      <c r="C55" s="45" t="s">
        <v>9</v>
      </c>
      <c r="D55" s="70">
        <f>COUNTIF(D24:D54,"L")</f>
        <v>21</v>
      </c>
      <c r="E55" s="98"/>
      <c r="F55" s="16"/>
      <c r="G55" s="16"/>
      <c r="H55" s="16"/>
      <c r="I55" s="16"/>
      <c r="J55" s="16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spans="1:26" s="3" customFormat="1" ht="30" customHeight="1" x14ac:dyDescent="0.2">
      <c r="A56" s="58"/>
      <c r="B56" s="58"/>
      <c r="C56" s="45" t="s">
        <v>10</v>
      </c>
      <c r="D56" s="37">
        <f>COUNTIF(D24:D54,"P")</f>
        <v>10</v>
      </c>
      <c r="E56" s="98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s="3" customFormat="1" ht="30" customHeight="1" x14ac:dyDescent="0.2">
      <c r="A57" s="58"/>
      <c r="B57" s="58"/>
      <c r="C57" s="46" t="s">
        <v>11</v>
      </c>
      <c r="D57" s="47">
        <f>SUM(D55:D56)</f>
        <v>31</v>
      </c>
      <c r="E57" s="10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7.45" customHeight="1" x14ac:dyDescent="0.2">
      <c r="A58" s="58"/>
      <c r="B58" s="58"/>
      <c r="C58" s="102"/>
      <c r="D58" s="10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45" customHeight="1" x14ac:dyDescent="0.2">
      <c r="A59" s="58"/>
      <c r="B59" s="5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45" customHeight="1" x14ac:dyDescent="0.2">
      <c r="A60" s="58"/>
      <c r="B60" s="5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45" customHeight="1" x14ac:dyDescent="0.2">
      <c r="A61" s="2"/>
      <c r="B61" s="2"/>
      <c r="C61" s="15"/>
      <c r="D61" s="15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45" customHeight="1" x14ac:dyDescent="0.2">
      <c r="A62" s="2"/>
      <c r="B62" s="2"/>
      <c r="C62" s="15"/>
      <c r="D62" s="15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x14ac:dyDescent="0.3">
      <c r="C63" s="5"/>
      <c r="D63" s="5"/>
    </row>
    <row r="64" spans="1:26" ht="17.25" x14ac:dyDescent="0.3">
      <c r="C64" s="5"/>
      <c r="D64" s="5"/>
    </row>
    <row r="65" spans="3:4" ht="17.25" x14ac:dyDescent="0.3">
      <c r="C65" s="5"/>
      <c r="D65" s="5"/>
    </row>
    <row r="66" spans="3:4" ht="12.75" customHeight="1" x14ac:dyDescent="0.3">
      <c r="C66" s="5"/>
      <c r="D66" s="5"/>
    </row>
    <row r="67" spans="3:4" ht="17.25" x14ac:dyDescent="0.3">
      <c r="C67" s="5"/>
      <c r="D67" s="5"/>
    </row>
    <row r="68" spans="3:4" ht="14.25" customHeight="1" x14ac:dyDescent="0.3">
      <c r="C68" s="5"/>
      <c r="D68" s="5"/>
    </row>
    <row r="69" spans="3:4" ht="12.75" customHeight="1" x14ac:dyDescent="0.3">
      <c r="C69" s="5"/>
      <c r="D69" s="5"/>
    </row>
  </sheetData>
  <sheetProtection selectLockedCells="1" selectUnlockedCells="1"/>
  <mergeCells count="32">
    <mergeCell ref="U46:Z46"/>
    <mergeCell ref="U34:Z34"/>
    <mergeCell ref="U45:Z45"/>
    <mergeCell ref="U40:Z40"/>
    <mergeCell ref="U41:Z41"/>
    <mergeCell ref="U42:Z42"/>
    <mergeCell ref="U43:Z43"/>
    <mergeCell ref="U44:Z44"/>
    <mergeCell ref="U29:Z29"/>
    <mergeCell ref="U38:Z38"/>
    <mergeCell ref="U39:Z39"/>
    <mergeCell ref="U30:Z30"/>
    <mergeCell ref="U35:Z35"/>
    <mergeCell ref="U36:Z36"/>
    <mergeCell ref="U37:Z37"/>
    <mergeCell ref="U31:Z31"/>
    <mergeCell ref="U32:Z32"/>
    <mergeCell ref="U33:Z33"/>
    <mergeCell ref="U28:Z28"/>
    <mergeCell ref="U24:Z24"/>
    <mergeCell ref="U20:Z23"/>
    <mergeCell ref="U25:Z25"/>
    <mergeCell ref="U26:Z26"/>
    <mergeCell ref="U27:Z27"/>
    <mergeCell ref="A14:Z14"/>
    <mergeCell ref="A15:Z15"/>
    <mergeCell ref="A20:A23"/>
    <mergeCell ref="B20:B23"/>
    <mergeCell ref="C20:C23"/>
    <mergeCell ref="D20:D23"/>
    <mergeCell ref="E20:T20"/>
    <mergeCell ref="E21:T22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Views>
    <sheetView view="pageBreakPreview" topLeftCell="A40" zoomScale="75" zoomScaleNormal="75" zoomScaleSheetLayoutView="75" workbookViewId="0">
      <selection activeCell="K34" sqref="K34"/>
    </sheetView>
  </sheetViews>
  <sheetFormatPr defaultColWidth="8.7109375" defaultRowHeight="18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7.140625" style="133" customWidth="1"/>
    <col min="5" max="5" width="6.140625" style="1" customWidth="1"/>
    <col min="6" max="27" width="4.140625" style="1" customWidth="1"/>
    <col min="28" max="28" width="0.85546875" style="1" customWidth="1"/>
    <col min="29" max="16384" width="8.7109375" style="1"/>
  </cols>
  <sheetData>
    <row r="1" spans="1:27" ht="12.6" customHeight="1" x14ac:dyDescent="0.2"/>
    <row r="2" spans="1:27" ht="12.6" customHeight="1" x14ac:dyDescent="0.2"/>
    <row r="3" spans="1:27" ht="12.6" customHeight="1" x14ac:dyDescent="0.2"/>
    <row r="4" spans="1:27" ht="12.6" customHeight="1" x14ac:dyDescent="0.2"/>
    <row r="5" spans="1:27" ht="12.6" customHeight="1" x14ac:dyDescent="0.2"/>
    <row r="6" spans="1:27" ht="12.6" customHeight="1" x14ac:dyDescent="0.2"/>
    <row r="7" spans="1:27" ht="12.6" customHeight="1" x14ac:dyDescent="0.2"/>
    <row r="8" spans="1:27" ht="12.6" customHeight="1" x14ac:dyDescent="0.2"/>
    <row r="9" spans="1:27" ht="12.6" customHeight="1" x14ac:dyDescent="0.2"/>
    <row r="10" spans="1:27" ht="12.6" customHeight="1" x14ac:dyDescent="0.2"/>
    <row r="11" spans="1:27" ht="12.6" customHeight="1" x14ac:dyDescent="0.2"/>
    <row r="12" spans="1:27" ht="12.6" customHeight="1" x14ac:dyDescent="0.2"/>
    <row r="13" spans="1:27" ht="17.100000000000001" customHeight="1" x14ac:dyDescent="0.2"/>
    <row r="14" spans="1:27" ht="18.95" customHeight="1" x14ac:dyDescent="0.2">
      <c r="A14" s="147" t="s">
        <v>13</v>
      </c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</row>
    <row r="15" spans="1:27" ht="20.45" customHeight="1" x14ac:dyDescent="0.2">
      <c r="A15" s="147" t="s">
        <v>29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</row>
    <row r="16" spans="1:27" ht="12.6" customHeight="1" x14ac:dyDescent="0.2">
      <c r="A16" s="11"/>
      <c r="B16" s="11"/>
      <c r="C16" s="11"/>
      <c r="D16" s="134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7.100000000000001" customHeight="1" x14ac:dyDescent="0.25">
      <c r="A17" s="38"/>
      <c r="B17" s="38"/>
      <c r="C17" s="38"/>
      <c r="D17" s="135"/>
      <c r="E17" s="38"/>
      <c r="F17" s="110"/>
      <c r="G17" s="110"/>
      <c r="H17" s="110"/>
      <c r="I17" s="39"/>
      <c r="J17" s="39"/>
      <c r="K17" s="38"/>
      <c r="L17" s="38"/>
      <c r="M17" s="197" t="s">
        <v>0</v>
      </c>
      <c r="N17" s="197"/>
      <c r="O17" s="197"/>
      <c r="P17" s="197"/>
      <c r="Q17" s="43" t="s">
        <v>28</v>
      </c>
      <c r="R17" s="43"/>
      <c r="T17" s="39"/>
      <c r="U17" s="39"/>
      <c r="V17" s="63"/>
      <c r="W17" s="63"/>
      <c r="X17" s="63"/>
      <c r="Y17" s="63"/>
      <c r="Z17" s="63"/>
      <c r="AA17" s="39"/>
    </row>
    <row r="18" spans="1:27" ht="17.100000000000001" customHeight="1" x14ac:dyDescent="0.25">
      <c r="A18" s="64" t="s">
        <v>17</v>
      </c>
      <c r="B18" s="38"/>
      <c r="C18" s="38"/>
      <c r="D18" s="135"/>
      <c r="E18" s="38"/>
      <c r="F18" s="110"/>
      <c r="G18" s="110"/>
      <c r="H18" s="110"/>
      <c r="I18" s="39"/>
      <c r="J18" s="39"/>
      <c r="K18" s="38"/>
      <c r="L18" s="38"/>
      <c r="M18" s="187" t="s">
        <v>1</v>
      </c>
      <c r="N18" s="187"/>
      <c r="O18" s="187"/>
      <c r="P18" s="187"/>
      <c r="Q18" s="43" t="s">
        <v>319</v>
      </c>
      <c r="S18" s="39"/>
      <c r="T18" s="39"/>
      <c r="U18" s="39"/>
      <c r="V18" s="39"/>
      <c r="W18" s="39"/>
      <c r="X18" s="39"/>
      <c r="Y18" s="39"/>
      <c r="Z18" s="39"/>
      <c r="AA18" s="39"/>
    </row>
    <row r="19" spans="1:27" ht="12.6" customHeight="1" x14ac:dyDescent="0.2">
      <c r="N19" s="2"/>
    </row>
    <row r="20" spans="1:27" ht="20.100000000000001" customHeight="1" x14ac:dyDescent="0.2">
      <c r="A20" s="151" t="s">
        <v>2</v>
      </c>
      <c r="B20" s="151" t="s">
        <v>3</v>
      </c>
      <c r="C20" s="151" t="s">
        <v>4</v>
      </c>
      <c r="D20" s="136"/>
      <c r="E20" s="151" t="s">
        <v>5</v>
      </c>
      <c r="F20" s="156" t="s">
        <v>6</v>
      </c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2" t="s">
        <v>14</v>
      </c>
      <c r="W20" s="153"/>
      <c r="X20" s="153"/>
      <c r="Y20" s="153"/>
      <c r="Z20" s="153"/>
      <c r="AA20" s="162"/>
    </row>
    <row r="21" spans="1:27" ht="12.6" customHeight="1" x14ac:dyDescent="0.2">
      <c r="A21" s="151"/>
      <c r="B21" s="151"/>
      <c r="C21" s="151"/>
      <c r="D21" s="136"/>
      <c r="E21" s="151"/>
      <c r="F21" s="152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64"/>
      <c r="W21" s="165"/>
      <c r="X21" s="165"/>
      <c r="Y21" s="165"/>
      <c r="Z21" s="165"/>
      <c r="AA21" s="166"/>
    </row>
    <row r="22" spans="1:27" ht="12.6" customHeight="1" x14ac:dyDescent="0.2">
      <c r="A22" s="151"/>
      <c r="B22" s="151"/>
      <c r="C22" s="151"/>
      <c r="D22" s="136"/>
      <c r="E22" s="151"/>
      <c r="F22" s="167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4"/>
      <c r="W22" s="165"/>
      <c r="X22" s="165"/>
      <c r="Y22" s="165"/>
      <c r="Z22" s="165"/>
      <c r="AA22" s="166"/>
    </row>
    <row r="23" spans="1:27" ht="20.100000000000001" customHeight="1" x14ac:dyDescent="0.2">
      <c r="A23" s="151"/>
      <c r="B23" s="151"/>
      <c r="C23" s="151"/>
      <c r="D23" s="136"/>
      <c r="E23" s="151"/>
      <c r="F23" s="67">
        <v>1</v>
      </c>
      <c r="G23" s="40">
        <v>2</v>
      </c>
      <c r="H23" s="40">
        <v>3</v>
      </c>
      <c r="I23" s="40">
        <v>4</v>
      </c>
      <c r="J23" s="40">
        <v>5</v>
      </c>
      <c r="K23" s="40">
        <v>6</v>
      </c>
      <c r="L23" s="40">
        <v>7</v>
      </c>
      <c r="M23" s="40">
        <v>8</v>
      </c>
      <c r="N23" s="40">
        <v>9</v>
      </c>
      <c r="O23" s="40">
        <v>10</v>
      </c>
      <c r="P23" s="40">
        <v>11</v>
      </c>
      <c r="Q23" s="40">
        <v>12</v>
      </c>
      <c r="R23" s="40">
        <v>13</v>
      </c>
      <c r="S23" s="40">
        <v>14</v>
      </c>
      <c r="T23" s="40">
        <v>15</v>
      </c>
      <c r="U23" s="68">
        <v>16</v>
      </c>
      <c r="V23" s="167"/>
      <c r="W23" s="168"/>
      <c r="X23" s="168"/>
      <c r="Y23" s="168"/>
      <c r="Z23" s="168"/>
      <c r="AA23" s="169"/>
    </row>
    <row r="24" spans="1:27" s="3" customFormat="1" ht="30" customHeight="1" x14ac:dyDescent="0.2">
      <c r="A24" s="17">
        <v>1</v>
      </c>
      <c r="B24" s="106">
        <v>12211</v>
      </c>
      <c r="C24" s="31" t="s">
        <v>266</v>
      </c>
      <c r="D24" s="137"/>
      <c r="E24" s="32" t="s">
        <v>7</v>
      </c>
      <c r="F24" s="51">
        <v>1</v>
      </c>
      <c r="G24" s="51"/>
      <c r="H24" s="51"/>
      <c r="I24" s="52"/>
      <c r="J24" s="52"/>
      <c r="K24" s="52"/>
      <c r="L24" s="52"/>
      <c r="M24" s="52"/>
      <c r="N24" s="51"/>
      <c r="O24" s="51"/>
      <c r="P24" s="51"/>
      <c r="Q24" s="51">
        <v>1</v>
      </c>
      <c r="R24" s="51"/>
      <c r="S24" s="51"/>
      <c r="T24" s="51"/>
      <c r="U24" s="86">
        <v>1</v>
      </c>
      <c r="V24" s="181">
        <v>1</v>
      </c>
      <c r="W24" s="181"/>
      <c r="X24" s="181"/>
      <c r="Y24" s="181"/>
      <c r="Z24" s="181"/>
      <c r="AA24" s="181"/>
    </row>
    <row r="25" spans="1:27" s="3" customFormat="1" ht="30" customHeight="1" x14ac:dyDescent="0.2">
      <c r="A25" s="17">
        <v>2</v>
      </c>
      <c r="B25" s="106">
        <v>12216</v>
      </c>
      <c r="C25" s="31" t="s">
        <v>267</v>
      </c>
      <c r="D25" s="137"/>
      <c r="E25" s="32" t="s">
        <v>7</v>
      </c>
      <c r="F25" s="51"/>
      <c r="G25" s="51"/>
      <c r="H25" s="51"/>
      <c r="I25" s="52"/>
      <c r="J25" s="52"/>
      <c r="K25" s="52"/>
      <c r="L25" s="52"/>
      <c r="M25" s="52"/>
      <c r="N25" s="51"/>
      <c r="O25" s="51"/>
      <c r="P25" s="51"/>
      <c r="Q25" s="51">
        <v>1</v>
      </c>
      <c r="R25" s="51"/>
      <c r="S25" s="51"/>
      <c r="T25" s="51"/>
      <c r="U25" s="86">
        <v>1</v>
      </c>
      <c r="V25" s="181">
        <v>1</v>
      </c>
      <c r="W25" s="181"/>
      <c r="X25" s="181"/>
      <c r="Y25" s="181"/>
      <c r="Z25" s="181"/>
      <c r="AA25" s="181"/>
    </row>
    <row r="26" spans="1:27" s="3" customFormat="1" ht="30" customHeight="1" x14ac:dyDescent="0.2">
      <c r="A26" s="17">
        <v>3</v>
      </c>
      <c r="B26" s="106">
        <v>12220</v>
      </c>
      <c r="C26" s="31" t="s">
        <v>268</v>
      </c>
      <c r="D26" s="137"/>
      <c r="E26" s="32" t="s">
        <v>8</v>
      </c>
      <c r="F26" s="51"/>
      <c r="G26" s="51"/>
      <c r="H26" s="51"/>
      <c r="I26" s="52"/>
      <c r="J26" s="52"/>
      <c r="K26" s="52"/>
      <c r="L26" s="52"/>
      <c r="M26" s="52"/>
      <c r="N26" s="51"/>
      <c r="O26" s="51"/>
      <c r="P26" s="51"/>
      <c r="Q26" s="51">
        <v>1</v>
      </c>
      <c r="R26" s="51"/>
      <c r="S26" s="51"/>
      <c r="T26" s="51"/>
      <c r="U26" s="86">
        <v>1</v>
      </c>
      <c r="V26" s="181">
        <v>1</v>
      </c>
      <c r="W26" s="181"/>
      <c r="X26" s="181"/>
      <c r="Y26" s="181"/>
      <c r="Z26" s="181"/>
      <c r="AA26" s="181"/>
    </row>
    <row r="27" spans="1:27" s="3" customFormat="1" ht="30" customHeight="1" x14ac:dyDescent="0.2">
      <c r="A27" s="17">
        <v>4</v>
      </c>
      <c r="B27" s="106">
        <v>12225</v>
      </c>
      <c r="C27" s="35" t="s">
        <v>269</v>
      </c>
      <c r="D27" s="137"/>
      <c r="E27" s="34" t="s">
        <v>7</v>
      </c>
      <c r="F27" s="51"/>
      <c r="G27" s="51"/>
      <c r="H27" s="51"/>
      <c r="I27" s="52"/>
      <c r="J27" s="52"/>
      <c r="K27" s="52"/>
      <c r="L27" s="52"/>
      <c r="M27" s="52"/>
      <c r="N27" s="51"/>
      <c r="O27" s="51"/>
      <c r="P27" s="51"/>
      <c r="Q27" s="51">
        <v>1</v>
      </c>
      <c r="R27" s="51"/>
      <c r="S27" s="51"/>
      <c r="T27" s="51"/>
      <c r="U27" s="86">
        <v>1</v>
      </c>
      <c r="V27" s="181">
        <v>1</v>
      </c>
      <c r="W27" s="181"/>
      <c r="X27" s="181"/>
      <c r="Y27" s="181"/>
      <c r="Z27" s="181"/>
      <c r="AA27" s="181"/>
    </row>
    <row r="28" spans="1:27" s="3" customFormat="1" ht="30" customHeight="1" x14ac:dyDescent="0.2">
      <c r="A28" s="17">
        <v>5</v>
      </c>
      <c r="B28" s="106">
        <v>12227</v>
      </c>
      <c r="C28" s="31" t="s">
        <v>270</v>
      </c>
      <c r="D28" s="137"/>
      <c r="E28" s="32" t="s">
        <v>7</v>
      </c>
      <c r="F28" s="51"/>
      <c r="G28" s="51"/>
      <c r="H28" s="51"/>
      <c r="I28" s="52"/>
      <c r="J28" s="52"/>
      <c r="K28" s="52"/>
      <c r="L28" s="52"/>
      <c r="M28" s="52"/>
      <c r="N28" s="51"/>
      <c r="O28" s="51"/>
      <c r="P28" s="51"/>
      <c r="Q28" s="51">
        <v>1</v>
      </c>
      <c r="R28" s="51"/>
      <c r="S28" s="51"/>
      <c r="T28" s="51"/>
      <c r="U28" s="86">
        <v>1</v>
      </c>
      <c r="V28" s="181">
        <v>1</v>
      </c>
      <c r="W28" s="181"/>
      <c r="X28" s="181"/>
      <c r="Y28" s="181"/>
      <c r="Z28" s="181"/>
      <c r="AA28" s="181"/>
    </row>
    <row r="29" spans="1:27" s="3" customFormat="1" ht="30" customHeight="1" x14ac:dyDescent="0.2">
      <c r="A29" s="17">
        <v>6</v>
      </c>
      <c r="B29" s="106">
        <v>12233</v>
      </c>
      <c r="C29" s="31" t="s">
        <v>271</v>
      </c>
      <c r="D29" s="137"/>
      <c r="E29" s="32" t="s">
        <v>7</v>
      </c>
      <c r="F29" s="51"/>
      <c r="G29" s="51"/>
      <c r="H29" s="51"/>
      <c r="I29" s="52"/>
      <c r="J29" s="52"/>
      <c r="K29" s="52"/>
      <c r="L29" s="52"/>
      <c r="M29" s="52"/>
      <c r="N29" s="51"/>
      <c r="O29" s="51"/>
      <c r="P29" s="51"/>
      <c r="Q29" s="51">
        <v>1</v>
      </c>
      <c r="R29" s="51"/>
      <c r="S29" s="51"/>
      <c r="T29" s="51"/>
      <c r="U29" s="86">
        <v>1</v>
      </c>
      <c r="V29" s="181">
        <v>1</v>
      </c>
      <c r="W29" s="181"/>
      <c r="X29" s="181"/>
      <c r="Y29" s="181"/>
      <c r="Z29" s="181"/>
      <c r="AA29" s="181"/>
    </row>
    <row r="30" spans="1:27" s="3" customFormat="1" ht="30" customHeight="1" x14ac:dyDescent="0.2">
      <c r="A30" s="17">
        <v>7</v>
      </c>
      <c r="B30" s="106">
        <v>12238</v>
      </c>
      <c r="C30" s="31" t="s">
        <v>272</v>
      </c>
      <c r="D30" s="137"/>
      <c r="E30" s="32" t="s">
        <v>7</v>
      </c>
      <c r="F30" s="51"/>
      <c r="G30" s="51"/>
      <c r="H30" s="51"/>
      <c r="I30" s="52"/>
      <c r="J30" s="52"/>
      <c r="K30" s="52"/>
      <c r="L30" s="52"/>
      <c r="M30" s="52"/>
      <c r="N30" s="51"/>
      <c r="O30" s="51"/>
      <c r="P30" s="51"/>
      <c r="Q30" s="51">
        <v>1</v>
      </c>
      <c r="R30" s="51"/>
      <c r="S30" s="51"/>
      <c r="T30" s="51"/>
      <c r="U30" s="86">
        <v>1</v>
      </c>
      <c r="V30" s="181">
        <v>1</v>
      </c>
      <c r="W30" s="181"/>
      <c r="X30" s="181"/>
      <c r="Y30" s="181"/>
      <c r="Z30" s="181"/>
      <c r="AA30" s="181"/>
    </row>
    <row r="31" spans="1:27" s="3" customFormat="1" ht="30" customHeight="1" x14ac:dyDescent="0.2">
      <c r="A31" s="17">
        <v>8</v>
      </c>
      <c r="B31" s="106">
        <v>12243</v>
      </c>
      <c r="C31" s="31" t="s">
        <v>273</v>
      </c>
      <c r="D31" s="137"/>
      <c r="E31" s="32" t="s">
        <v>7</v>
      </c>
      <c r="F31" s="51"/>
      <c r="G31" s="51"/>
      <c r="H31" s="51"/>
      <c r="I31" s="52"/>
      <c r="J31" s="52"/>
      <c r="K31" s="52"/>
      <c r="L31" s="52"/>
      <c r="M31" s="52"/>
      <c r="N31" s="51"/>
      <c r="O31" s="51"/>
      <c r="P31" s="51"/>
      <c r="Q31" s="51">
        <v>1</v>
      </c>
      <c r="R31" s="51"/>
      <c r="S31" s="51"/>
      <c r="T31" s="51"/>
      <c r="U31" s="86">
        <v>1</v>
      </c>
      <c r="V31" s="181">
        <v>1</v>
      </c>
      <c r="W31" s="181"/>
      <c r="X31" s="181"/>
      <c r="Y31" s="181"/>
      <c r="Z31" s="181"/>
      <c r="AA31" s="181"/>
    </row>
    <row r="32" spans="1:27" s="3" customFormat="1" ht="30" customHeight="1" x14ac:dyDescent="0.2">
      <c r="A32" s="17">
        <v>9</v>
      </c>
      <c r="B32" s="106">
        <v>12247</v>
      </c>
      <c r="C32" s="31" t="s">
        <v>274</v>
      </c>
      <c r="D32" s="137"/>
      <c r="E32" s="32" t="s">
        <v>8</v>
      </c>
      <c r="F32" s="51"/>
      <c r="G32" s="51"/>
      <c r="H32" s="51"/>
      <c r="I32" s="52"/>
      <c r="J32" s="52"/>
      <c r="K32" s="52"/>
      <c r="L32" s="52"/>
      <c r="M32" s="52"/>
      <c r="N32" s="51"/>
      <c r="O32" s="51"/>
      <c r="P32" s="51"/>
      <c r="Q32" s="51">
        <v>1</v>
      </c>
      <c r="R32" s="51"/>
      <c r="S32" s="51"/>
      <c r="T32" s="51"/>
      <c r="U32" s="86">
        <v>1</v>
      </c>
      <c r="V32" s="181">
        <v>1</v>
      </c>
      <c r="W32" s="181"/>
      <c r="X32" s="181"/>
      <c r="Y32" s="181"/>
      <c r="Z32" s="181"/>
      <c r="AA32" s="181"/>
    </row>
    <row r="33" spans="1:27" s="3" customFormat="1" ht="30" customHeight="1" x14ac:dyDescent="0.2">
      <c r="A33" s="17">
        <v>10</v>
      </c>
      <c r="B33" s="106">
        <v>12250</v>
      </c>
      <c r="C33" s="31" t="s">
        <v>275</v>
      </c>
      <c r="D33" s="137"/>
      <c r="E33" s="32" t="s">
        <v>7</v>
      </c>
      <c r="F33" s="51"/>
      <c r="G33" s="51"/>
      <c r="H33" s="51"/>
      <c r="I33" s="52"/>
      <c r="J33" s="52"/>
      <c r="K33" s="52"/>
      <c r="L33" s="52"/>
      <c r="M33" s="52"/>
      <c r="N33" s="51"/>
      <c r="O33" s="51"/>
      <c r="P33" s="51"/>
      <c r="Q33" s="51">
        <v>1</v>
      </c>
      <c r="R33" s="51"/>
      <c r="S33" s="51"/>
      <c r="T33" s="51"/>
      <c r="U33" s="86">
        <v>1</v>
      </c>
      <c r="V33" s="181">
        <v>1</v>
      </c>
      <c r="W33" s="181"/>
      <c r="X33" s="181"/>
      <c r="Y33" s="181"/>
      <c r="Z33" s="181"/>
      <c r="AA33" s="181"/>
    </row>
    <row r="34" spans="1:27" s="3" customFormat="1" ht="30" customHeight="1" x14ac:dyDescent="0.2">
      <c r="A34" s="17">
        <v>11</v>
      </c>
      <c r="B34" s="106">
        <v>12262</v>
      </c>
      <c r="C34" s="31" t="s">
        <v>276</v>
      </c>
      <c r="D34" s="137"/>
      <c r="E34" s="32" t="s">
        <v>7</v>
      </c>
      <c r="F34" s="51"/>
      <c r="G34" s="51"/>
      <c r="H34" s="51"/>
      <c r="I34" s="52"/>
      <c r="J34" s="52"/>
      <c r="K34" s="52"/>
      <c r="L34" s="52"/>
      <c r="M34" s="52"/>
      <c r="N34" s="51"/>
      <c r="O34" s="51"/>
      <c r="P34" s="51"/>
      <c r="Q34" s="51">
        <v>1</v>
      </c>
      <c r="R34" s="51"/>
      <c r="S34" s="51"/>
      <c r="T34" s="51"/>
      <c r="U34" s="86">
        <v>1</v>
      </c>
      <c r="V34" s="181">
        <v>1</v>
      </c>
      <c r="W34" s="181"/>
      <c r="X34" s="181"/>
      <c r="Y34" s="181"/>
      <c r="Z34" s="181"/>
      <c r="AA34" s="181"/>
    </row>
    <row r="35" spans="1:27" s="3" customFormat="1" ht="30" customHeight="1" x14ac:dyDescent="0.2">
      <c r="A35" s="17">
        <v>12</v>
      </c>
      <c r="B35" s="106">
        <v>12273</v>
      </c>
      <c r="C35" s="33" t="s">
        <v>277</v>
      </c>
      <c r="D35" s="137"/>
      <c r="E35" s="34" t="s">
        <v>8</v>
      </c>
      <c r="F35" s="51"/>
      <c r="G35" s="51"/>
      <c r="H35" s="51"/>
      <c r="I35" s="52"/>
      <c r="J35" s="52"/>
      <c r="K35" s="52"/>
      <c r="L35" s="52"/>
      <c r="M35" s="52"/>
      <c r="N35" s="51"/>
      <c r="O35" s="51"/>
      <c r="P35" s="51"/>
      <c r="Q35" s="51"/>
      <c r="R35" s="51"/>
      <c r="S35" s="51"/>
      <c r="T35" s="51"/>
      <c r="U35" s="86"/>
      <c r="V35" s="196"/>
      <c r="W35" s="193"/>
      <c r="X35" s="193"/>
      <c r="Y35" s="193"/>
      <c r="Z35" s="193"/>
      <c r="AA35" s="194"/>
    </row>
    <row r="36" spans="1:27" s="3" customFormat="1" ht="30" customHeight="1" x14ac:dyDescent="0.2">
      <c r="A36" s="17">
        <v>13</v>
      </c>
      <c r="B36" s="106">
        <v>12277</v>
      </c>
      <c r="C36" s="69" t="s">
        <v>278</v>
      </c>
      <c r="D36" s="137"/>
      <c r="E36" s="34" t="s">
        <v>7</v>
      </c>
      <c r="F36" s="51"/>
      <c r="G36" s="51"/>
      <c r="H36" s="51"/>
      <c r="I36" s="52"/>
      <c r="J36" s="52"/>
      <c r="K36" s="52"/>
      <c r="L36" s="52"/>
      <c r="M36" s="52"/>
      <c r="N36" s="51"/>
      <c r="O36" s="51"/>
      <c r="P36" s="51"/>
      <c r="Q36" s="51"/>
      <c r="R36" s="51"/>
      <c r="S36" s="51"/>
      <c r="T36" s="51"/>
      <c r="U36" s="86"/>
      <c r="V36" s="196"/>
      <c r="W36" s="193"/>
      <c r="X36" s="193"/>
      <c r="Y36" s="193"/>
      <c r="Z36" s="193"/>
      <c r="AA36" s="194"/>
    </row>
    <row r="37" spans="1:27" s="3" customFormat="1" ht="30" customHeight="1" x14ac:dyDescent="0.2">
      <c r="A37" s="17">
        <v>14</v>
      </c>
      <c r="B37" s="106">
        <v>12289</v>
      </c>
      <c r="C37" s="31" t="s">
        <v>279</v>
      </c>
      <c r="D37" s="137"/>
      <c r="E37" s="32" t="s">
        <v>7</v>
      </c>
      <c r="F37" s="51"/>
      <c r="G37" s="51"/>
      <c r="H37" s="51"/>
      <c r="I37" s="52"/>
      <c r="J37" s="52"/>
      <c r="K37" s="52"/>
      <c r="L37" s="52"/>
      <c r="M37" s="52"/>
      <c r="N37" s="51"/>
      <c r="O37" s="51"/>
      <c r="P37" s="51"/>
      <c r="Q37" s="51"/>
      <c r="R37" s="51"/>
      <c r="S37" s="51"/>
      <c r="T37" s="51"/>
      <c r="U37" s="86"/>
      <c r="V37" s="196"/>
      <c r="W37" s="193"/>
      <c r="X37" s="193"/>
      <c r="Y37" s="193"/>
      <c r="Z37" s="193"/>
      <c r="AA37" s="194"/>
    </row>
    <row r="38" spans="1:27" s="3" customFormat="1" ht="30" customHeight="1" x14ac:dyDescent="0.2">
      <c r="A38" s="17">
        <v>15</v>
      </c>
      <c r="B38" s="106">
        <v>12293</v>
      </c>
      <c r="C38" s="31" t="s">
        <v>280</v>
      </c>
      <c r="D38" s="137"/>
      <c r="E38" s="32" t="s">
        <v>7</v>
      </c>
      <c r="F38" s="51"/>
      <c r="G38" s="51"/>
      <c r="H38" s="51"/>
      <c r="I38" s="52"/>
      <c r="J38" s="52"/>
      <c r="K38" s="52"/>
      <c r="L38" s="52"/>
      <c r="M38" s="52"/>
      <c r="N38" s="51"/>
      <c r="O38" s="51"/>
      <c r="P38" s="51"/>
      <c r="Q38" s="51"/>
      <c r="R38" s="51"/>
      <c r="S38" s="51"/>
      <c r="T38" s="51"/>
      <c r="U38" s="86"/>
      <c r="V38" s="196"/>
      <c r="W38" s="193"/>
      <c r="X38" s="193"/>
      <c r="Y38" s="193"/>
      <c r="Z38" s="193"/>
      <c r="AA38" s="194"/>
    </row>
    <row r="39" spans="1:27" s="3" customFormat="1" ht="30" customHeight="1" x14ac:dyDescent="0.2">
      <c r="A39" s="17">
        <v>16</v>
      </c>
      <c r="B39" s="106">
        <v>12306</v>
      </c>
      <c r="C39" s="31" t="s">
        <v>281</v>
      </c>
      <c r="D39" s="137"/>
      <c r="E39" s="32" t="s">
        <v>7</v>
      </c>
      <c r="F39" s="51"/>
      <c r="G39" s="51"/>
      <c r="H39" s="51"/>
      <c r="I39" s="52"/>
      <c r="J39" s="52"/>
      <c r="K39" s="52"/>
      <c r="L39" s="52"/>
      <c r="M39" s="52"/>
      <c r="N39" s="51"/>
      <c r="O39" s="51"/>
      <c r="P39" s="51"/>
      <c r="Q39" s="51"/>
      <c r="R39" s="51"/>
      <c r="S39" s="51"/>
      <c r="T39" s="51"/>
      <c r="U39" s="86"/>
      <c r="V39" s="196"/>
      <c r="W39" s="193"/>
      <c r="X39" s="193"/>
      <c r="Y39" s="193"/>
      <c r="Z39" s="193"/>
      <c r="AA39" s="194"/>
    </row>
    <row r="40" spans="1:27" s="3" customFormat="1" ht="30" customHeight="1" x14ac:dyDescent="0.2">
      <c r="A40" s="17">
        <v>17</v>
      </c>
      <c r="B40" s="106">
        <v>12340</v>
      </c>
      <c r="C40" s="31" t="s">
        <v>282</v>
      </c>
      <c r="D40" s="137"/>
      <c r="E40" s="32" t="s">
        <v>7</v>
      </c>
      <c r="F40" s="51"/>
      <c r="G40" s="51"/>
      <c r="H40" s="51"/>
      <c r="I40" s="52"/>
      <c r="J40" s="52"/>
      <c r="K40" s="52"/>
      <c r="L40" s="52"/>
      <c r="M40" s="52"/>
      <c r="N40" s="51"/>
      <c r="O40" s="51"/>
      <c r="P40" s="51"/>
      <c r="Q40" s="51"/>
      <c r="R40" s="51"/>
      <c r="S40" s="51"/>
      <c r="T40" s="51"/>
      <c r="U40" s="86"/>
      <c r="V40" s="196"/>
      <c r="W40" s="193"/>
      <c r="X40" s="193"/>
      <c r="Y40" s="193"/>
      <c r="Z40" s="193"/>
      <c r="AA40" s="194"/>
    </row>
    <row r="41" spans="1:27" s="3" customFormat="1" ht="30" customHeight="1" x14ac:dyDescent="0.2">
      <c r="A41" s="17">
        <v>18</v>
      </c>
      <c r="B41" s="106">
        <v>12348</v>
      </c>
      <c r="C41" s="31" t="s">
        <v>283</v>
      </c>
      <c r="D41" s="137"/>
      <c r="E41" s="32" t="s">
        <v>8</v>
      </c>
      <c r="F41" s="51"/>
      <c r="G41" s="51"/>
      <c r="H41" s="51"/>
      <c r="I41" s="52"/>
      <c r="J41" s="52"/>
      <c r="K41" s="52"/>
      <c r="L41" s="52"/>
      <c r="M41" s="52"/>
      <c r="N41" s="51"/>
      <c r="O41" s="51"/>
      <c r="P41" s="51"/>
      <c r="Q41" s="51">
        <v>1</v>
      </c>
      <c r="R41" s="51"/>
      <c r="S41" s="51"/>
      <c r="T41" s="51"/>
      <c r="U41" s="86">
        <v>1</v>
      </c>
      <c r="V41" s="181">
        <v>1</v>
      </c>
      <c r="W41" s="181"/>
      <c r="X41" s="181"/>
      <c r="Y41" s="181"/>
      <c r="Z41" s="181"/>
      <c r="AA41" s="181"/>
    </row>
    <row r="42" spans="1:27" s="3" customFormat="1" ht="30" customHeight="1" x14ac:dyDescent="0.2">
      <c r="A42" s="17">
        <v>19</v>
      </c>
      <c r="B42" s="106">
        <v>12359</v>
      </c>
      <c r="C42" s="31" t="s">
        <v>284</v>
      </c>
      <c r="D42" s="137"/>
      <c r="E42" s="32" t="s">
        <v>7</v>
      </c>
      <c r="F42" s="51"/>
      <c r="G42" s="51"/>
      <c r="H42" s="51"/>
      <c r="I42" s="52"/>
      <c r="J42" s="52"/>
      <c r="K42" s="52"/>
      <c r="L42" s="52"/>
      <c r="M42" s="52"/>
      <c r="N42" s="51"/>
      <c r="O42" s="51"/>
      <c r="P42" s="51"/>
      <c r="Q42" s="51">
        <v>1</v>
      </c>
      <c r="R42" s="51"/>
      <c r="S42" s="51"/>
      <c r="T42" s="51"/>
      <c r="U42" s="86">
        <v>1</v>
      </c>
      <c r="V42" s="181">
        <v>1</v>
      </c>
      <c r="W42" s="181"/>
      <c r="X42" s="181"/>
      <c r="Y42" s="181"/>
      <c r="Z42" s="181"/>
      <c r="AA42" s="181"/>
    </row>
    <row r="43" spans="1:27" s="3" customFormat="1" ht="30" customHeight="1" x14ac:dyDescent="0.2">
      <c r="A43" s="17">
        <v>20</v>
      </c>
      <c r="B43" s="106">
        <v>12379</v>
      </c>
      <c r="C43" s="31" t="s">
        <v>285</v>
      </c>
      <c r="D43" s="137"/>
      <c r="E43" s="32" t="s">
        <v>7</v>
      </c>
      <c r="F43" s="51"/>
      <c r="G43" s="51"/>
      <c r="H43" s="51"/>
      <c r="I43" s="52"/>
      <c r="J43" s="52"/>
      <c r="K43" s="52"/>
      <c r="L43" s="52"/>
      <c r="M43" s="52"/>
      <c r="N43" s="51"/>
      <c r="O43" s="51"/>
      <c r="P43" s="51"/>
      <c r="Q43" s="51">
        <v>1</v>
      </c>
      <c r="R43" s="51"/>
      <c r="S43" s="51"/>
      <c r="T43" s="51"/>
      <c r="U43" s="86">
        <v>1</v>
      </c>
      <c r="V43" s="181">
        <v>1</v>
      </c>
      <c r="W43" s="181"/>
      <c r="X43" s="181"/>
      <c r="Y43" s="181"/>
      <c r="Z43" s="181"/>
      <c r="AA43" s="181"/>
    </row>
    <row r="44" spans="1:27" s="3" customFormat="1" ht="30" customHeight="1" x14ac:dyDescent="0.2">
      <c r="A44" s="17">
        <v>21</v>
      </c>
      <c r="B44" s="106">
        <v>12380</v>
      </c>
      <c r="C44" s="31" t="s">
        <v>286</v>
      </c>
      <c r="D44" s="137"/>
      <c r="E44" s="32" t="s">
        <v>7</v>
      </c>
      <c r="F44" s="51"/>
      <c r="G44" s="51"/>
      <c r="H44" s="51"/>
      <c r="I44" s="52"/>
      <c r="J44" s="52"/>
      <c r="K44" s="52"/>
      <c r="L44" s="52"/>
      <c r="M44" s="52"/>
      <c r="N44" s="51"/>
      <c r="O44" s="51"/>
      <c r="P44" s="51"/>
      <c r="Q44" s="51">
        <v>1</v>
      </c>
      <c r="R44" s="51"/>
      <c r="S44" s="51"/>
      <c r="T44" s="51"/>
      <c r="U44" s="86">
        <v>1</v>
      </c>
      <c r="V44" s="196">
        <v>1</v>
      </c>
      <c r="W44" s="193"/>
      <c r="X44" s="193"/>
      <c r="Y44" s="193"/>
      <c r="Z44" s="193"/>
      <c r="AA44" s="194"/>
    </row>
    <row r="45" spans="1:27" s="3" customFormat="1" ht="30" customHeight="1" x14ac:dyDescent="0.2">
      <c r="A45" s="17">
        <v>22</v>
      </c>
      <c r="B45" s="106">
        <v>12382</v>
      </c>
      <c r="C45" s="31" t="s">
        <v>287</v>
      </c>
      <c r="D45" s="137"/>
      <c r="E45" s="32" t="s">
        <v>8</v>
      </c>
      <c r="F45" s="51"/>
      <c r="G45" s="51"/>
      <c r="H45" s="51"/>
      <c r="I45" s="52"/>
      <c r="J45" s="52"/>
      <c r="K45" s="52"/>
      <c r="L45" s="52"/>
      <c r="M45" s="52"/>
      <c r="N45" s="51"/>
      <c r="O45" s="51"/>
      <c r="P45" s="51"/>
      <c r="Q45" s="51"/>
      <c r="R45" s="51"/>
      <c r="S45" s="51"/>
      <c r="T45" s="51"/>
      <c r="U45" s="86"/>
      <c r="V45" s="196"/>
      <c r="W45" s="193"/>
      <c r="X45" s="193"/>
      <c r="Y45" s="193"/>
      <c r="Z45" s="193"/>
      <c r="AA45" s="194"/>
    </row>
    <row r="46" spans="1:27" s="3" customFormat="1" ht="30" customHeight="1" x14ac:dyDescent="0.2">
      <c r="A46" s="17">
        <v>23</v>
      </c>
      <c r="B46" s="106">
        <v>12387</v>
      </c>
      <c r="C46" s="31" t="s">
        <v>288</v>
      </c>
      <c r="D46" s="137"/>
      <c r="E46" s="32" t="s">
        <v>8</v>
      </c>
      <c r="F46" s="51"/>
      <c r="G46" s="51"/>
      <c r="H46" s="51"/>
      <c r="I46" s="52"/>
      <c r="J46" s="52"/>
      <c r="K46" s="52"/>
      <c r="L46" s="52"/>
      <c r="M46" s="52"/>
      <c r="N46" s="51"/>
      <c r="O46" s="51"/>
      <c r="P46" s="51"/>
      <c r="Q46" s="51">
        <v>1</v>
      </c>
      <c r="R46" s="51"/>
      <c r="S46" s="51"/>
      <c r="T46" s="51"/>
      <c r="U46" s="86">
        <v>1</v>
      </c>
      <c r="V46" s="196">
        <v>1</v>
      </c>
      <c r="W46" s="193"/>
      <c r="X46" s="193"/>
      <c r="Y46" s="193"/>
      <c r="Z46" s="193"/>
      <c r="AA46" s="194"/>
    </row>
    <row r="47" spans="1:27" s="3" customFormat="1" ht="30" customHeight="1" x14ac:dyDescent="0.2">
      <c r="A47" s="17">
        <v>24</v>
      </c>
      <c r="B47" s="106">
        <v>12396</v>
      </c>
      <c r="C47" s="33" t="s">
        <v>289</v>
      </c>
      <c r="D47" s="137"/>
      <c r="E47" s="34" t="s">
        <v>7</v>
      </c>
      <c r="F47" s="51"/>
      <c r="G47" s="51"/>
      <c r="H47" s="51"/>
      <c r="I47" s="52"/>
      <c r="J47" s="52"/>
      <c r="K47" s="52"/>
      <c r="L47" s="52"/>
      <c r="M47" s="52"/>
      <c r="N47" s="51"/>
      <c r="O47" s="51"/>
      <c r="P47" s="51"/>
      <c r="Q47" s="51">
        <v>1</v>
      </c>
      <c r="R47" s="51"/>
      <c r="S47" s="51"/>
      <c r="T47" s="51"/>
      <c r="U47" s="86">
        <v>1</v>
      </c>
      <c r="V47" s="196">
        <v>1</v>
      </c>
      <c r="W47" s="193"/>
      <c r="X47" s="193"/>
      <c r="Y47" s="193"/>
      <c r="Z47" s="193"/>
      <c r="AA47" s="194"/>
    </row>
    <row r="48" spans="1:27" s="3" customFormat="1" ht="30" customHeight="1" x14ac:dyDescent="0.2">
      <c r="A48" s="17">
        <v>25</v>
      </c>
      <c r="B48" s="106">
        <v>12405</v>
      </c>
      <c r="C48" s="33" t="s">
        <v>290</v>
      </c>
      <c r="D48" s="137"/>
      <c r="E48" s="34" t="s">
        <v>8</v>
      </c>
      <c r="F48" s="51"/>
      <c r="G48" s="51"/>
      <c r="H48" s="51"/>
      <c r="I48" s="52"/>
      <c r="J48" s="52"/>
      <c r="K48" s="52"/>
      <c r="L48" s="52"/>
      <c r="M48" s="52"/>
      <c r="N48" s="51"/>
      <c r="O48" s="51"/>
      <c r="P48" s="51"/>
      <c r="Q48" s="51"/>
      <c r="R48" s="51"/>
      <c r="S48" s="51"/>
      <c r="T48" s="51"/>
      <c r="U48" s="86"/>
      <c r="V48" s="109"/>
      <c r="W48" s="88"/>
      <c r="X48" s="88"/>
      <c r="Y48" s="88"/>
      <c r="Z48" s="88"/>
      <c r="AA48" s="89"/>
    </row>
    <row r="49" spans="1:27" s="3" customFormat="1" ht="30" customHeight="1" x14ac:dyDescent="0.2">
      <c r="A49" s="17">
        <v>26</v>
      </c>
      <c r="B49" s="106">
        <v>12407</v>
      </c>
      <c r="C49" s="33" t="s">
        <v>291</v>
      </c>
      <c r="D49" s="137"/>
      <c r="E49" s="34" t="s">
        <v>8</v>
      </c>
      <c r="F49" s="51"/>
      <c r="G49" s="51"/>
      <c r="H49" s="51"/>
      <c r="I49" s="52"/>
      <c r="J49" s="52"/>
      <c r="K49" s="52"/>
      <c r="L49" s="52"/>
      <c r="M49" s="52"/>
      <c r="N49" s="51"/>
      <c r="O49" s="51"/>
      <c r="P49" s="51"/>
      <c r="Q49" s="51"/>
      <c r="R49" s="51"/>
      <c r="S49" s="51"/>
      <c r="T49" s="51"/>
      <c r="U49" s="86"/>
      <c r="V49" s="109"/>
      <c r="W49" s="88"/>
      <c r="X49" s="88"/>
      <c r="Y49" s="88"/>
      <c r="Z49" s="88"/>
      <c r="AA49" s="89"/>
    </row>
    <row r="50" spans="1:27" s="3" customFormat="1" ht="30" customHeight="1" x14ac:dyDescent="0.2">
      <c r="A50" s="17">
        <v>27</v>
      </c>
      <c r="B50" s="106">
        <v>12415</v>
      </c>
      <c r="C50" s="33" t="s">
        <v>292</v>
      </c>
      <c r="D50" s="137"/>
      <c r="E50" s="34" t="s">
        <v>7</v>
      </c>
      <c r="F50" s="51"/>
      <c r="G50" s="51"/>
      <c r="H50" s="51"/>
      <c r="I50" s="52"/>
      <c r="J50" s="52"/>
      <c r="K50" s="52"/>
      <c r="L50" s="52"/>
      <c r="M50" s="52"/>
      <c r="N50" s="51"/>
      <c r="O50" s="51"/>
      <c r="P50" s="51"/>
      <c r="Q50" s="51"/>
      <c r="R50" s="51"/>
      <c r="S50" s="51"/>
      <c r="T50" s="51"/>
      <c r="U50" s="86"/>
      <c r="V50" s="109"/>
      <c r="W50" s="88"/>
      <c r="X50" s="88"/>
      <c r="Y50" s="88"/>
      <c r="Z50" s="88"/>
      <c r="AA50" s="89"/>
    </row>
    <row r="51" spans="1:27" s="3" customFormat="1" ht="30" customHeight="1" x14ac:dyDescent="0.2">
      <c r="A51" s="17">
        <v>28</v>
      </c>
      <c r="B51" s="106">
        <v>12420</v>
      </c>
      <c r="C51" s="33" t="s">
        <v>293</v>
      </c>
      <c r="D51" s="137"/>
      <c r="E51" s="34" t="s">
        <v>7</v>
      </c>
      <c r="F51" s="51"/>
      <c r="G51" s="51"/>
      <c r="H51" s="51"/>
      <c r="I51" s="52"/>
      <c r="J51" s="52"/>
      <c r="K51" s="52"/>
      <c r="L51" s="52"/>
      <c r="M51" s="52"/>
      <c r="N51" s="51"/>
      <c r="O51" s="51"/>
      <c r="P51" s="51"/>
      <c r="Q51" s="51"/>
      <c r="R51" s="51"/>
      <c r="S51" s="51"/>
      <c r="T51" s="51"/>
      <c r="U51" s="86"/>
      <c r="V51" s="109"/>
      <c r="W51" s="88"/>
      <c r="X51" s="88"/>
      <c r="Y51" s="88"/>
      <c r="Z51" s="88"/>
      <c r="AA51" s="89"/>
    </row>
    <row r="52" spans="1:27" s="3" customFormat="1" ht="30" customHeight="1" x14ac:dyDescent="0.2">
      <c r="A52" s="17">
        <v>29</v>
      </c>
      <c r="B52" s="106">
        <v>12423</v>
      </c>
      <c r="C52" s="33" t="s">
        <v>294</v>
      </c>
      <c r="D52" s="137"/>
      <c r="E52" s="34" t="s">
        <v>7</v>
      </c>
      <c r="F52" s="51"/>
      <c r="G52" s="51"/>
      <c r="H52" s="51"/>
      <c r="I52" s="52"/>
      <c r="J52" s="52"/>
      <c r="K52" s="52"/>
      <c r="L52" s="52"/>
      <c r="M52" s="52"/>
      <c r="N52" s="51"/>
      <c r="O52" s="51"/>
      <c r="P52" s="51"/>
      <c r="Q52" s="51"/>
      <c r="R52" s="51"/>
      <c r="S52" s="51"/>
      <c r="T52" s="51"/>
      <c r="U52" s="86"/>
      <c r="V52" s="109"/>
      <c r="W52" s="88"/>
      <c r="X52" s="88"/>
      <c r="Y52" s="88"/>
      <c r="Z52" s="88"/>
      <c r="AA52" s="89"/>
    </row>
    <row r="53" spans="1:27" s="3" customFormat="1" ht="30" customHeight="1" x14ac:dyDescent="0.2">
      <c r="A53" s="17">
        <v>30</v>
      </c>
      <c r="B53" s="106">
        <v>12456</v>
      </c>
      <c r="C53" s="31" t="s">
        <v>295</v>
      </c>
      <c r="D53" s="137"/>
      <c r="E53" s="32" t="s">
        <v>8</v>
      </c>
      <c r="F53" s="51"/>
      <c r="G53" s="51"/>
      <c r="H53" s="51"/>
      <c r="I53" s="52"/>
      <c r="J53" s="52"/>
      <c r="K53" s="52"/>
      <c r="L53" s="52"/>
      <c r="M53" s="52"/>
      <c r="N53" s="51"/>
      <c r="O53" s="51"/>
      <c r="P53" s="51"/>
      <c r="Q53" s="51"/>
      <c r="R53" s="51"/>
      <c r="S53" s="51"/>
      <c r="T53" s="51"/>
      <c r="U53" s="86"/>
      <c r="V53" s="196"/>
      <c r="W53" s="193"/>
      <c r="X53" s="193"/>
      <c r="Y53" s="193"/>
      <c r="Z53" s="193"/>
      <c r="AA53" s="194"/>
    </row>
    <row r="54" spans="1:27" s="3" customFormat="1" ht="30" customHeight="1" x14ac:dyDescent="0.2">
      <c r="A54" s="17">
        <v>31</v>
      </c>
      <c r="B54" s="106">
        <v>12467</v>
      </c>
      <c r="C54" s="31" t="s">
        <v>296</v>
      </c>
      <c r="D54" s="137"/>
      <c r="E54" s="32" t="s">
        <v>7</v>
      </c>
      <c r="F54" s="51"/>
      <c r="G54" s="51"/>
      <c r="H54" s="51"/>
      <c r="I54" s="52"/>
      <c r="J54" s="52"/>
      <c r="K54" s="52"/>
      <c r="L54" s="52"/>
      <c r="M54" s="52"/>
      <c r="N54" s="51"/>
      <c r="O54" s="51"/>
      <c r="P54" s="51"/>
      <c r="Q54" s="51"/>
      <c r="R54" s="51"/>
      <c r="S54" s="51"/>
      <c r="T54" s="51"/>
      <c r="U54" s="86"/>
      <c r="V54" s="88"/>
      <c r="W54" s="88"/>
      <c r="X54" s="88"/>
      <c r="Y54" s="88"/>
      <c r="Z54" s="88"/>
      <c r="AA54" s="89"/>
    </row>
    <row r="55" spans="1:27" s="94" customFormat="1" ht="30" customHeight="1" x14ac:dyDescent="0.2">
      <c r="A55" s="54"/>
      <c r="B55" s="54"/>
      <c r="C55" s="44" t="s">
        <v>9</v>
      </c>
      <c r="D55" s="138"/>
      <c r="E55" s="36">
        <f>COUNTIF(E24:E54,"L")</f>
        <v>22</v>
      </c>
      <c r="F55" s="104"/>
      <c r="G55" s="104"/>
      <c r="H55" s="104"/>
      <c r="I55" s="105"/>
      <c r="J55" s="105"/>
      <c r="K55" s="105"/>
      <c r="L55" s="105"/>
      <c r="M55" s="105"/>
      <c r="N55" s="105"/>
      <c r="O55" s="104"/>
      <c r="P55" s="104"/>
      <c r="Q55" s="104"/>
      <c r="R55" s="104"/>
      <c r="S55" s="104">
        <v>1</v>
      </c>
      <c r="T55" s="104"/>
      <c r="U55" s="96"/>
      <c r="V55" s="195">
        <v>1</v>
      </c>
      <c r="W55" s="195"/>
      <c r="X55" s="195"/>
      <c r="Y55" s="195"/>
      <c r="Z55" s="195"/>
      <c r="AA55" s="195"/>
    </row>
    <row r="56" spans="1:27" s="3" customFormat="1" ht="30" customHeight="1" x14ac:dyDescent="0.2">
      <c r="A56" s="58"/>
      <c r="B56" s="58"/>
      <c r="C56" s="45" t="s">
        <v>10</v>
      </c>
      <c r="D56" s="139"/>
      <c r="E56" s="37">
        <f>COUNTIF(E24:E54,"P")</f>
        <v>9</v>
      </c>
      <c r="F56" s="104"/>
      <c r="G56" s="104"/>
      <c r="H56" s="104"/>
      <c r="I56" s="105"/>
      <c r="J56" s="105"/>
      <c r="K56" s="105"/>
      <c r="L56" s="105"/>
      <c r="M56" s="105"/>
      <c r="N56" s="105"/>
      <c r="O56" s="104"/>
      <c r="P56" s="104"/>
      <c r="Q56" s="104"/>
      <c r="R56" s="104"/>
      <c r="S56" s="104">
        <v>1</v>
      </c>
      <c r="T56" s="104"/>
      <c r="U56" s="96"/>
      <c r="V56" s="195">
        <v>1</v>
      </c>
      <c r="W56" s="195"/>
      <c r="X56" s="195"/>
      <c r="Y56" s="195"/>
      <c r="Z56" s="195"/>
      <c r="AA56" s="195"/>
    </row>
    <row r="57" spans="1:27" s="3" customFormat="1" ht="30" customHeight="1" x14ac:dyDescent="0.2">
      <c r="A57" s="58"/>
      <c r="B57" s="58"/>
      <c r="C57" s="46" t="s">
        <v>11</v>
      </c>
      <c r="D57" s="140"/>
      <c r="E57" s="47">
        <f>SUM(E55:E56)</f>
        <v>31</v>
      </c>
      <c r="F57" s="61"/>
      <c r="G57" s="58"/>
      <c r="H57" s="58"/>
      <c r="I57" s="58"/>
      <c r="J57" s="58"/>
      <c r="K57" s="58"/>
      <c r="L57" s="58"/>
      <c r="M57" s="58"/>
      <c r="N57" s="58"/>
      <c r="O57" s="76"/>
      <c r="P57" s="58"/>
      <c r="Q57" s="58"/>
      <c r="R57" s="58"/>
      <c r="S57" s="58"/>
      <c r="T57" s="58"/>
      <c r="U57" s="16"/>
      <c r="V57" s="16"/>
      <c r="W57" s="16"/>
      <c r="X57" s="16"/>
      <c r="Y57" s="16"/>
      <c r="Z57" s="16"/>
      <c r="AA57" s="16"/>
    </row>
    <row r="58" spans="1:27" ht="17.45" customHeight="1" x14ac:dyDescent="0.25">
      <c r="A58" s="26"/>
      <c r="B58" s="26"/>
      <c r="C58" s="30"/>
      <c r="D58" s="141"/>
      <c r="E58" s="30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"/>
      <c r="V58" s="2"/>
      <c r="W58" s="2"/>
      <c r="X58" s="2"/>
      <c r="Y58" s="2"/>
      <c r="Z58" s="2"/>
      <c r="AA58" s="2"/>
    </row>
    <row r="59" spans="1:27" ht="17.45" customHeight="1" x14ac:dyDescent="0.25">
      <c r="A59" s="26"/>
      <c r="B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"/>
      <c r="V59" s="2"/>
      <c r="W59" s="2"/>
      <c r="X59" s="2"/>
      <c r="Y59" s="2"/>
      <c r="Z59" s="2"/>
      <c r="AA59" s="2"/>
    </row>
    <row r="60" spans="1:27" ht="17.45" customHeight="1" x14ac:dyDescent="0.25">
      <c r="A60" s="26"/>
      <c r="B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"/>
      <c r="V60" s="2"/>
      <c r="W60" s="2"/>
      <c r="X60" s="2"/>
      <c r="Y60" s="2"/>
      <c r="Z60" s="2"/>
      <c r="AA60" s="2"/>
    </row>
    <row r="61" spans="1:27" ht="17.45" customHeight="1" x14ac:dyDescent="0.25">
      <c r="A61" s="26"/>
      <c r="B61" s="26"/>
      <c r="C61" s="30"/>
      <c r="D61" s="141"/>
      <c r="E61" s="30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"/>
      <c r="V61" s="2"/>
      <c r="W61" s="2"/>
      <c r="X61" s="2"/>
      <c r="Y61" s="2"/>
      <c r="Z61" s="2"/>
      <c r="AA61" s="2"/>
    </row>
    <row r="62" spans="1:27" ht="17.45" customHeight="1" x14ac:dyDescent="0.25">
      <c r="A62" s="26"/>
      <c r="B62" s="26"/>
      <c r="C62" s="30"/>
      <c r="D62" s="141"/>
      <c r="E62" s="30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"/>
      <c r="V62" s="2"/>
      <c r="W62" s="2"/>
      <c r="X62" s="2"/>
      <c r="Y62" s="2"/>
      <c r="Z62" s="2"/>
      <c r="AA62" s="2"/>
    </row>
    <row r="63" spans="1:27" ht="18" customHeight="1" x14ac:dyDescent="0.3">
      <c r="C63" s="5"/>
      <c r="D63" s="142"/>
      <c r="E63" s="5"/>
    </row>
    <row r="64" spans="1:27" ht="18" customHeight="1" x14ac:dyDescent="0.3">
      <c r="C64" s="5"/>
      <c r="D64" s="142"/>
      <c r="E64" s="5"/>
    </row>
    <row r="65" spans="3:5" ht="18" customHeight="1" x14ac:dyDescent="0.3">
      <c r="C65" s="5"/>
      <c r="D65" s="142"/>
      <c r="E65" s="5"/>
    </row>
    <row r="66" spans="3:5" ht="18" customHeight="1" x14ac:dyDescent="0.3">
      <c r="C66" s="5"/>
      <c r="D66" s="142"/>
      <c r="E66" s="5"/>
    </row>
    <row r="67" spans="3:5" ht="18" customHeight="1" x14ac:dyDescent="0.3">
      <c r="C67" s="5"/>
      <c r="D67" s="142"/>
      <c r="E67" s="5"/>
    </row>
    <row r="68" spans="3:5" ht="18" customHeight="1" x14ac:dyDescent="0.3">
      <c r="C68" s="5"/>
      <c r="D68" s="142"/>
      <c r="E68" s="5"/>
    </row>
    <row r="69" spans="3:5" ht="18" customHeight="1" x14ac:dyDescent="0.3">
      <c r="C69" s="5"/>
      <c r="D69" s="142"/>
      <c r="E69" s="5"/>
    </row>
    <row r="70" spans="3:5" ht="18" customHeight="1" x14ac:dyDescent="0.3">
      <c r="C70" s="5"/>
      <c r="D70" s="142"/>
      <c r="E70" s="5"/>
    </row>
  </sheetData>
  <sheetProtection selectLockedCells="1" selectUnlockedCells="1"/>
  <mergeCells count="38">
    <mergeCell ref="V28:AA28"/>
    <mergeCell ref="M17:P17"/>
    <mergeCell ref="M18:P18"/>
    <mergeCell ref="A14:AA14"/>
    <mergeCell ref="A15:AA15"/>
    <mergeCell ref="A20:A23"/>
    <mergeCell ref="B20:B23"/>
    <mergeCell ref="C20:C23"/>
    <mergeCell ref="E20:E23"/>
    <mergeCell ref="F20:U20"/>
    <mergeCell ref="V20:AA23"/>
    <mergeCell ref="F21:U22"/>
    <mergeCell ref="V24:AA24"/>
    <mergeCell ref="V25:AA25"/>
    <mergeCell ref="V26:AA26"/>
    <mergeCell ref="V27:AA27"/>
    <mergeCell ref="V29:AA29"/>
    <mergeCell ref="V30:AA30"/>
    <mergeCell ref="V31:AA31"/>
    <mergeCell ref="V32:AA32"/>
    <mergeCell ref="V33:AA33"/>
    <mergeCell ref="V41:AA41"/>
    <mergeCell ref="V42:AA42"/>
    <mergeCell ref="V43:AA43"/>
    <mergeCell ref="V34:AA34"/>
    <mergeCell ref="V35:AA35"/>
    <mergeCell ref="V36:AA36"/>
    <mergeCell ref="V37:AA37"/>
    <mergeCell ref="V38:AA38"/>
    <mergeCell ref="V39:AA39"/>
    <mergeCell ref="V40:AA40"/>
    <mergeCell ref="V55:AA55"/>
    <mergeCell ref="V56:AA56"/>
    <mergeCell ref="V44:AA44"/>
    <mergeCell ref="V45:AA45"/>
    <mergeCell ref="V46:AA46"/>
    <mergeCell ref="V47:AA47"/>
    <mergeCell ref="V53:AA53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topLeftCell="A70" workbookViewId="0">
      <selection activeCell="C107" sqref="C107"/>
    </sheetView>
  </sheetViews>
  <sheetFormatPr defaultRowHeight="12.75" x14ac:dyDescent="0.2"/>
  <cols>
    <col min="3" max="3" width="48.5703125" customWidth="1"/>
  </cols>
  <sheetData>
    <row r="1" spans="1:5" ht="15" customHeight="1" x14ac:dyDescent="0.2">
      <c r="A1" s="113" t="s">
        <v>2</v>
      </c>
      <c r="B1" s="113" t="s">
        <v>3</v>
      </c>
      <c r="C1" s="114" t="s">
        <v>4</v>
      </c>
      <c r="D1" s="114" t="s">
        <v>5</v>
      </c>
      <c r="E1" s="120" t="s">
        <v>300</v>
      </c>
    </row>
    <row r="2" spans="1:5" ht="15" customHeight="1" x14ac:dyDescent="0.2">
      <c r="A2" s="17">
        <v>1</v>
      </c>
      <c r="B2" s="122">
        <v>12206</v>
      </c>
      <c r="C2" s="123" t="s">
        <v>30</v>
      </c>
      <c r="D2" s="124" t="s">
        <v>7</v>
      </c>
      <c r="E2" s="118" t="s">
        <v>302</v>
      </c>
    </row>
    <row r="3" spans="1:5" ht="15" customHeight="1" x14ac:dyDescent="0.2">
      <c r="A3" s="17">
        <v>2</v>
      </c>
      <c r="B3" s="122">
        <v>12217</v>
      </c>
      <c r="C3" s="123" t="s">
        <v>31</v>
      </c>
      <c r="D3" s="124" t="s">
        <v>7</v>
      </c>
      <c r="E3" s="118" t="s">
        <v>302</v>
      </c>
    </row>
    <row r="4" spans="1:5" ht="15" customHeight="1" x14ac:dyDescent="0.2">
      <c r="A4" s="17">
        <v>3</v>
      </c>
      <c r="B4" s="122">
        <v>12222</v>
      </c>
      <c r="C4" s="125" t="s">
        <v>32</v>
      </c>
      <c r="D4" s="126" t="s">
        <v>7</v>
      </c>
      <c r="E4" s="118" t="s">
        <v>302</v>
      </c>
    </row>
    <row r="5" spans="1:5" ht="15" customHeight="1" x14ac:dyDescent="0.2">
      <c r="A5" s="17">
        <v>4</v>
      </c>
      <c r="B5" s="122">
        <v>12242</v>
      </c>
      <c r="C5" s="125" t="s">
        <v>33</v>
      </c>
      <c r="D5" s="126" t="s">
        <v>7</v>
      </c>
      <c r="E5" s="118" t="s">
        <v>302</v>
      </c>
    </row>
    <row r="6" spans="1:5" ht="15" customHeight="1" x14ac:dyDescent="0.2">
      <c r="A6" s="17">
        <v>5</v>
      </c>
      <c r="B6" s="122">
        <v>12245</v>
      </c>
      <c r="C6" s="123" t="s">
        <v>34</v>
      </c>
      <c r="D6" s="124" t="s">
        <v>7</v>
      </c>
      <c r="E6" s="118" t="s">
        <v>302</v>
      </c>
    </row>
    <row r="7" spans="1:5" ht="15" customHeight="1" x14ac:dyDescent="0.2">
      <c r="A7" s="17">
        <v>6</v>
      </c>
      <c r="B7" s="122">
        <v>12255</v>
      </c>
      <c r="C7" s="125" t="s">
        <v>35</v>
      </c>
      <c r="D7" s="126" t="s">
        <v>8</v>
      </c>
      <c r="E7" s="118" t="s">
        <v>302</v>
      </c>
    </row>
    <row r="8" spans="1:5" ht="15" customHeight="1" x14ac:dyDescent="0.2">
      <c r="A8" s="17">
        <v>7</v>
      </c>
      <c r="B8" s="122">
        <v>12256</v>
      </c>
      <c r="C8" s="123" t="s">
        <v>36</v>
      </c>
      <c r="D8" s="124" t="s">
        <v>7</v>
      </c>
      <c r="E8" s="118" t="s">
        <v>302</v>
      </c>
    </row>
    <row r="9" spans="1:5" ht="15" customHeight="1" x14ac:dyDescent="0.2">
      <c r="A9" s="17">
        <v>8</v>
      </c>
      <c r="B9" s="122">
        <v>12261</v>
      </c>
      <c r="C9" s="123" t="s">
        <v>37</v>
      </c>
      <c r="D9" s="124" t="s">
        <v>7</v>
      </c>
      <c r="E9" s="118" t="s">
        <v>302</v>
      </c>
    </row>
    <row r="10" spans="1:5" ht="15" customHeight="1" x14ac:dyDescent="0.2">
      <c r="A10" s="17">
        <v>9</v>
      </c>
      <c r="B10" s="122">
        <v>12266</v>
      </c>
      <c r="C10" s="123" t="s">
        <v>38</v>
      </c>
      <c r="D10" s="124" t="s">
        <v>8</v>
      </c>
      <c r="E10" s="118" t="s">
        <v>302</v>
      </c>
    </row>
    <row r="11" spans="1:5" ht="15" customHeight="1" x14ac:dyDescent="0.2">
      <c r="A11" s="17">
        <v>10</v>
      </c>
      <c r="B11" s="122">
        <v>12268</v>
      </c>
      <c r="C11" s="123" t="s">
        <v>39</v>
      </c>
      <c r="D11" s="124" t="s">
        <v>7</v>
      </c>
      <c r="E11" s="118" t="s">
        <v>302</v>
      </c>
    </row>
    <row r="12" spans="1:5" ht="15" customHeight="1" x14ac:dyDescent="0.2">
      <c r="A12" s="17">
        <v>11</v>
      </c>
      <c r="B12" s="122">
        <v>12272</v>
      </c>
      <c r="C12" s="123" t="s">
        <v>40</v>
      </c>
      <c r="D12" s="124" t="s">
        <v>7</v>
      </c>
      <c r="E12" s="118" t="s">
        <v>302</v>
      </c>
    </row>
    <row r="13" spans="1:5" ht="15" customHeight="1" x14ac:dyDescent="0.2">
      <c r="A13" s="17">
        <v>12</v>
      </c>
      <c r="B13" s="122">
        <v>12282</v>
      </c>
      <c r="C13" s="123" t="s">
        <v>41</v>
      </c>
      <c r="D13" s="124" t="s">
        <v>7</v>
      </c>
      <c r="E13" s="118" t="s">
        <v>302</v>
      </c>
    </row>
    <row r="14" spans="1:5" ht="15" customHeight="1" x14ac:dyDescent="0.2">
      <c r="A14" s="17">
        <v>13</v>
      </c>
      <c r="B14" s="122">
        <v>12296</v>
      </c>
      <c r="C14" s="123" t="s">
        <v>42</v>
      </c>
      <c r="D14" s="124" t="s">
        <v>7</v>
      </c>
      <c r="E14" s="118" t="s">
        <v>302</v>
      </c>
    </row>
    <row r="15" spans="1:5" ht="15" customHeight="1" x14ac:dyDescent="0.2">
      <c r="A15" s="17">
        <v>14</v>
      </c>
      <c r="B15" s="122">
        <v>12301</v>
      </c>
      <c r="C15" s="125" t="s">
        <v>43</v>
      </c>
      <c r="D15" s="126" t="s">
        <v>7</v>
      </c>
      <c r="E15" s="118" t="s">
        <v>302</v>
      </c>
    </row>
    <row r="16" spans="1:5" ht="15" customHeight="1" x14ac:dyDescent="0.2">
      <c r="A16" s="17">
        <v>15</v>
      </c>
      <c r="B16" s="122">
        <v>12302</v>
      </c>
      <c r="C16" s="125" t="s">
        <v>44</v>
      </c>
      <c r="D16" s="126" t="s">
        <v>8</v>
      </c>
      <c r="E16" s="118" t="s">
        <v>302</v>
      </c>
    </row>
    <row r="17" spans="1:5" ht="15" customHeight="1" x14ac:dyDescent="0.2">
      <c r="A17" s="17">
        <v>16</v>
      </c>
      <c r="B17" s="122">
        <v>12322</v>
      </c>
      <c r="C17" s="123" t="s">
        <v>45</v>
      </c>
      <c r="D17" s="124" t="s">
        <v>8</v>
      </c>
      <c r="E17" s="118" t="s">
        <v>302</v>
      </c>
    </row>
    <row r="18" spans="1:5" ht="15" customHeight="1" x14ac:dyDescent="0.2">
      <c r="A18" s="17">
        <v>17</v>
      </c>
      <c r="B18" s="122">
        <v>12336</v>
      </c>
      <c r="C18" s="123" t="s">
        <v>46</v>
      </c>
      <c r="D18" s="124" t="s">
        <v>8</v>
      </c>
      <c r="E18" s="118" t="s">
        <v>302</v>
      </c>
    </row>
    <row r="19" spans="1:5" ht="15" customHeight="1" x14ac:dyDescent="0.2">
      <c r="A19" s="17">
        <v>18</v>
      </c>
      <c r="B19" s="122">
        <v>12337</v>
      </c>
      <c r="C19" s="125" t="s">
        <v>47</v>
      </c>
      <c r="D19" s="126" t="s">
        <v>8</v>
      </c>
      <c r="E19" s="118" t="s">
        <v>302</v>
      </c>
    </row>
    <row r="20" spans="1:5" ht="15" customHeight="1" x14ac:dyDescent="0.2">
      <c r="A20" s="17">
        <v>19</v>
      </c>
      <c r="B20" s="122">
        <v>12344</v>
      </c>
      <c r="C20" s="123" t="s">
        <v>48</v>
      </c>
      <c r="D20" s="124" t="s">
        <v>8</v>
      </c>
      <c r="E20" s="118" t="s">
        <v>302</v>
      </c>
    </row>
    <row r="21" spans="1:5" ht="15" customHeight="1" x14ac:dyDescent="0.2">
      <c r="A21" s="17">
        <v>20</v>
      </c>
      <c r="B21" s="122">
        <v>12350</v>
      </c>
      <c r="C21" s="125" t="s">
        <v>49</v>
      </c>
      <c r="D21" s="126" t="s">
        <v>7</v>
      </c>
      <c r="E21" s="118" t="s">
        <v>302</v>
      </c>
    </row>
    <row r="22" spans="1:5" ht="15" customHeight="1" x14ac:dyDescent="0.2">
      <c r="A22" s="17">
        <v>21</v>
      </c>
      <c r="B22" s="122">
        <v>12352</v>
      </c>
      <c r="C22" s="123" t="s">
        <v>50</v>
      </c>
      <c r="D22" s="124" t="s">
        <v>7</v>
      </c>
      <c r="E22" s="118" t="s">
        <v>302</v>
      </c>
    </row>
    <row r="23" spans="1:5" ht="15" customHeight="1" x14ac:dyDescent="0.2">
      <c r="A23" s="17">
        <v>22</v>
      </c>
      <c r="B23" s="122">
        <v>12356</v>
      </c>
      <c r="C23" s="123" t="s">
        <v>51</v>
      </c>
      <c r="D23" s="124" t="s">
        <v>7</v>
      </c>
      <c r="E23" s="118" t="s">
        <v>302</v>
      </c>
    </row>
    <row r="24" spans="1:5" ht="15" customHeight="1" x14ac:dyDescent="0.2">
      <c r="A24" s="17">
        <v>23</v>
      </c>
      <c r="B24" s="122">
        <v>12360</v>
      </c>
      <c r="C24" s="123" t="s">
        <v>52</v>
      </c>
      <c r="D24" s="124" t="s">
        <v>7</v>
      </c>
      <c r="E24" s="118" t="s">
        <v>302</v>
      </c>
    </row>
    <row r="25" spans="1:5" ht="15" customHeight="1" x14ac:dyDescent="0.2">
      <c r="A25" s="17">
        <v>24</v>
      </c>
      <c r="B25" s="122">
        <v>12363</v>
      </c>
      <c r="C25" s="123" t="s">
        <v>53</v>
      </c>
      <c r="D25" s="124" t="s">
        <v>7</v>
      </c>
      <c r="E25" s="118" t="s">
        <v>302</v>
      </c>
    </row>
    <row r="26" spans="1:5" ht="15" customHeight="1" x14ac:dyDescent="0.2">
      <c r="A26" s="17">
        <v>25</v>
      </c>
      <c r="B26" s="122">
        <v>12373</v>
      </c>
      <c r="C26" s="123" t="s">
        <v>54</v>
      </c>
      <c r="D26" s="124" t="s">
        <v>7</v>
      </c>
      <c r="E26" s="118" t="s">
        <v>302</v>
      </c>
    </row>
    <row r="27" spans="1:5" ht="15" customHeight="1" x14ac:dyDescent="0.2">
      <c r="A27" s="17">
        <v>26</v>
      </c>
      <c r="B27" s="122">
        <v>12385</v>
      </c>
      <c r="C27" s="127" t="s">
        <v>55</v>
      </c>
      <c r="D27" s="124" t="s">
        <v>8</v>
      </c>
      <c r="E27" s="118" t="s">
        <v>302</v>
      </c>
    </row>
    <row r="28" spans="1:5" ht="15" customHeight="1" x14ac:dyDescent="0.2">
      <c r="A28" s="17">
        <v>27</v>
      </c>
      <c r="B28" s="122">
        <v>12410</v>
      </c>
      <c r="C28" s="123" t="s">
        <v>56</v>
      </c>
      <c r="D28" s="124" t="s">
        <v>8</v>
      </c>
      <c r="E28" s="118" t="s">
        <v>302</v>
      </c>
    </row>
    <row r="29" spans="1:5" ht="15" customHeight="1" x14ac:dyDescent="0.2">
      <c r="A29" s="17">
        <v>28</v>
      </c>
      <c r="B29" s="122">
        <v>12417</v>
      </c>
      <c r="C29" s="123" t="s">
        <v>57</v>
      </c>
      <c r="D29" s="124" t="s">
        <v>7</v>
      </c>
      <c r="E29" s="118" t="s">
        <v>302</v>
      </c>
    </row>
    <row r="30" spans="1:5" ht="15" customHeight="1" x14ac:dyDescent="0.2">
      <c r="A30" s="17">
        <v>29</v>
      </c>
      <c r="B30" s="122">
        <v>12426</v>
      </c>
      <c r="C30" s="123" t="s">
        <v>58</v>
      </c>
      <c r="D30" s="124" t="s">
        <v>8</v>
      </c>
      <c r="E30" s="118" t="s">
        <v>302</v>
      </c>
    </row>
    <row r="31" spans="1:5" ht="15" customHeight="1" x14ac:dyDescent="0.2">
      <c r="A31" s="17">
        <v>30</v>
      </c>
      <c r="B31" s="122">
        <v>12431</v>
      </c>
      <c r="C31" s="123" t="s">
        <v>59</v>
      </c>
      <c r="D31" s="126" t="s">
        <v>8</v>
      </c>
      <c r="E31" s="118" t="s">
        <v>302</v>
      </c>
    </row>
    <row r="32" spans="1:5" ht="15" customHeight="1" x14ac:dyDescent="0.2">
      <c r="A32" s="17">
        <v>31</v>
      </c>
      <c r="B32" s="122">
        <v>12438</v>
      </c>
      <c r="C32" s="123" t="s">
        <v>60</v>
      </c>
      <c r="D32" s="124" t="s">
        <v>7</v>
      </c>
      <c r="E32" s="118" t="s">
        <v>302</v>
      </c>
    </row>
    <row r="33" spans="1:5" ht="15" customHeight="1" x14ac:dyDescent="0.2">
      <c r="A33" s="17">
        <v>32</v>
      </c>
      <c r="B33" s="122">
        <v>12453</v>
      </c>
      <c r="C33" s="123" t="s">
        <v>61</v>
      </c>
      <c r="D33" s="124" t="s">
        <v>7</v>
      </c>
      <c r="E33" s="118" t="s">
        <v>302</v>
      </c>
    </row>
    <row r="34" spans="1:5" ht="15" customHeight="1" x14ac:dyDescent="0.2">
      <c r="A34" s="17">
        <v>33</v>
      </c>
      <c r="B34" s="122">
        <v>12460</v>
      </c>
      <c r="C34" s="123" t="s">
        <v>62</v>
      </c>
      <c r="D34" s="124" t="s">
        <v>8</v>
      </c>
      <c r="E34" s="118" t="s">
        <v>302</v>
      </c>
    </row>
    <row r="35" spans="1:5" ht="15" customHeight="1" x14ac:dyDescent="0.2">
      <c r="A35" s="17">
        <v>34</v>
      </c>
      <c r="B35" s="122">
        <v>12469</v>
      </c>
      <c r="C35" s="123" t="s">
        <v>63</v>
      </c>
      <c r="D35" s="124" t="s">
        <v>7</v>
      </c>
      <c r="E35" s="118" t="s">
        <v>302</v>
      </c>
    </row>
    <row r="36" spans="1:5" ht="18" x14ac:dyDescent="0.2">
      <c r="A36" s="17">
        <v>1</v>
      </c>
      <c r="B36" s="107">
        <v>12209</v>
      </c>
      <c r="C36" s="31" t="s">
        <v>64</v>
      </c>
      <c r="D36" s="34" t="s">
        <v>7</v>
      </c>
      <c r="E36" s="118" t="s">
        <v>303</v>
      </c>
    </row>
    <row r="37" spans="1:5" ht="18" x14ac:dyDescent="0.2">
      <c r="A37" s="17">
        <v>2</v>
      </c>
      <c r="B37" s="106">
        <v>12223</v>
      </c>
      <c r="C37" s="31" t="s">
        <v>65</v>
      </c>
      <c r="D37" s="32" t="s">
        <v>7</v>
      </c>
      <c r="E37" s="118" t="s">
        <v>303</v>
      </c>
    </row>
    <row r="38" spans="1:5" ht="18" x14ac:dyDescent="0.2">
      <c r="A38" s="17">
        <v>3</v>
      </c>
      <c r="B38" s="106">
        <v>12237</v>
      </c>
      <c r="C38" s="31" t="s">
        <v>66</v>
      </c>
      <c r="D38" s="32" t="s">
        <v>7</v>
      </c>
      <c r="E38" s="118" t="s">
        <v>303</v>
      </c>
    </row>
    <row r="39" spans="1:5" ht="18" x14ac:dyDescent="0.2">
      <c r="A39" s="17">
        <v>4</v>
      </c>
      <c r="B39" s="106">
        <v>12239</v>
      </c>
      <c r="C39" s="69" t="s">
        <v>67</v>
      </c>
      <c r="D39" s="32" t="s">
        <v>7</v>
      </c>
      <c r="E39" s="118" t="s">
        <v>303</v>
      </c>
    </row>
    <row r="40" spans="1:5" ht="18" x14ac:dyDescent="0.2">
      <c r="A40" s="17">
        <v>5</v>
      </c>
      <c r="B40" s="106">
        <v>12244</v>
      </c>
      <c r="C40" s="31" t="s">
        <v>68</v>
      </c>
      <c r="D40" s="32" t="s">
        <v>7</v>
      </c>
      <c r="E40" s="118" t="s">
        <v>303</v>
      </c>
    </row>
    <row r="41" spans="1:5" ht="18" x14ac:dyDescent="0.2">
      <c r="A41" s="17">
        <v>6</v>
      </c>
      <c r="B41" s="106">
        <v>12257</v>
      </c>
      <c r="C41" s="31" t="s">
        <v>69</v>
      </c>
      <c r="D41" s="32" t="s">
        <v>8</v>
      </c>
      <c r="E41" s="118" t="s">
        <v>303</v>
      </c>
    </row>
    <row r="42" spans="1:5" ht="18" x14ac:dyDescent="0.2">
      <c r="A42" s="17">
        <v>7</v>
      </c>
      <c r="B42" s="106">
        <v>12275</v>
      </c>
      <c r="C42" s="31" t="s">
        <v>70</v>
      </c>
      <c r="D42" s="121" t="s">
        <v>7</v>
      </c>
      <c r="E42" s="118" t="s">
        <v>303</v>
      </c>
    </row>
    <row r="43" spans="1:5" ht="18" x14ac:dyDescent="0.2">
      <c r="A43" s="17">
        <v>8</v>
      </c>
      <c r="B43" s="106">
        <v>12292</v>
      </c>
      <c r="C43" s="31" t="s">
        <v>71</v>
      </c>
      <c r="D43" s="121" t="s">
        <v>8</v>
      </c>
      <c r="E43" s="118" t="s">
        <v>303</v>
      </c>
    </row>
    <row r="44" spans="1:5" ht="18" x14ac:dyDescent="0.2">
      <c r="A44" s="17">
        <v>9</v>
      </c>
      <c r="B44" s="106">
        <v>12298</v>
      </c>
      <c r="C44" s="33" t="s">
        <v>72</v>
      </c>
      <c r="D44" s="34" t="s">
        <v>8</v>
      </c>
      <c r="E44" s="118" t="s">
        <v>303</v>
      </c>
    </row>
    <row r="45" spans="1:5" ht="18" x14ac:dyDescent="0.2">
      <c r="A45" s="17">
        <v>10</v>
      </c>
      <c r="B45" s="106">
        <v>12304</v>
      </c>
      <c r="C45" s="31" t="s">
        <v>73</v>
      </c>
      <c r="D45" s="32" t="s">
        <v>8</v>
      </c>
      <c r="E45" s="118" t="s">
        <v>303</v>
      </c>
    </row>
    <row r="46" spans="1:5" ht="18" x14ac:dyDescent="0.2">
      <c r="A46" s="17">
        <v>11</v>
      </c>
      <c r="B46" s="106">
        <v>12312</v>
      </c>
      <c r="C46" s="69" t="s">
        <v>74</v>
      </c>
      <c r="D46" s="32" t="s">
        <v>7</v>
      </c>
      <c r="E46" s="118" t="s">
        <v>303</v>
      </c>
    </row>
    <row r="47" spans="1:5" ht="33" x14ac:dyDescent="0.2">
      <c r="A47" s="17">
        <v>12</v>
      </c>
      <c r="B47" s="106">
        <v>12327</v>
      </c>
      <c r="C47" s="31" t="s">
        <v>75</v>
      </c>
      <c r="D47" s="32" t="s">
        <v>7</v>
      </c>
      <c r="E47" s="118" t="s">
        <v>303</v>
      </c>
    </row>
    <row r="48" spans="1:5" ht="18" x14ac:dyDescent="0.2">
      <c r="A48" s="17">
        <v>13</v>
      </c>
      <c r="B48" s="106">
        <v>12332</v>
      </c>
      <c r="C48" s="31" t="s">
        <v>76</v>
      </c>
      <c r="D48" s="32" t="s">
        <v>8</v>
      </c>
      <c r="E48" s="118" t="s">
        <v>303</v>
      </c>
    </row>
    <row r="49" spans="1:5" ht="18" x14ac:dyDescent="0.2">
      <c r="A49" s="17">
        <v>14</v>
      </c>
      <c r="B49" s="106">
        <v>12338</v>
      </c>
      <c r="C49" s="31" t="s">
        <v>77</v>
      </c>
      <c r="D49" s="32" t="s">
        <v>8</v>
      </c>
      <c r="E49" s="118" t="s">
        <v>303</v>
      </c>
    </row>
    <row r="50" spans="1:5" ht="18" x14ac:dyDescent="0.2">
      <c r="A50" s="17">
        <v>15</v>
      </c>
      <c r="B50" s="106">
        <v>12362</v>
      </c>
      <c r="C50" s="33" t="s">
        <v>78</v>
      </c>
      <c r="D50" s="34" t="s">
        <v>7</v>
      </c>
      <c r="E50" s="118" t="s">
        <v>303</v>
      </c>
    </row>
    <row r="51" spans="1:5" ht="18" x14ac:dyDescent="0.2">
      <c r="A51" s="17">
        <v>16</v>
      </c>
      <c r="B51" s="106">
        <v>12364</v>
      </c>
      <c r="C51" s="33" t="s">
        <v>79</v>
      </c>
      <c r="D51" s="32" t="s">
        <v>7</v>
      </c>
      <c r="E51" s="118" t="s">
        <v>303</v>
      </c>
    </row>
    <row r="52" spans="1:5" ht="18" x14ac:dyDescent="0.2">
      <c r="A52" s="17">
        <v>17</v>
      </c>
      <c r="B52" s="106">
        <v>12368</v>
      </c>
      <c r="C52" s="69" t="s">
        <v>80</v>
      </c>
      <c r="D52" s="32" t="s">
        <v>7</v>
      </c>
      <c r="E52" s="118" t="s">
        <v>303</v>
      </c>
    </row>
    <row r="53" spans="1:5" ht="18" x14ac:dyDescent="0.2">
      <c r="A53" s="17">
        <v>18</v>
      </c>
      <c r="B53" s="106">
        <v>12375</v>
      </c>
      <c r="C53" s="31" t="s">
        <v>81</v>
      </c>
      <c r="D53" s="34" t="s">
        <v>7</v>
      </c>
      <c r="E53" s="118" t="s">
        <v>303</v>
      </c>
    </row>
    <row r="54" spans="1:5" ht="18" x14ac:dyDescent="0.2">
      <c r="A54" s="17">
        <v>19</v>
      </c>
      <c r="B54" s="106">
        <v>12383</v>
      </c>
      <c r="C54" s="33" t="s">
        <v>82</v>
      </c>
      <c r="D54" s="32" t="s">
        <v>7</v>
      </c>
      <c r="E54" s="118" t="s">
        <v>303</v>
      </c>
    </row>
    <row r="55" spans="1:5" ht="18" x14ac:dyDescent="0.2">
      <c r="A55" s="17">
        <v>20</v>
      </c>
      <c r="B55" s="106">
        <v>12390</v>
      </c>
      <c r="C55" s="31" t="s">
        <v>83</v>
      </c>
      <c r="D55" s="32" t="s">
        <v>7</v>
      </c>
      <c r="E55" s="118" t="s">
        <v>303</v>
      </c>
    </row>
    <row r="56" spans="1:5" ht="18" x14ac:dyDescent="0.2">
      <c r="A56" s="17">
        <v>21</v>
      </c>
      <c r="B56" s="106">
        <v>12393</v>
      </c>
      <c r="C56" s="31" t="s">
        <v>84</v>
      </c>
      <c r="D56" s="32" t="s">
        <v>7</v>
      </c>
      <c r="E56" s="118" t="s">
        <v>303</v>
      </c>
    </row>
    <row r="57" spans="1:5" ht="18" x14ac:dyDescent="0.2">
      <c r="A57" s="17">
        <v>22</v>
      </c>
      <c r="B57" s="106">
        <v>12408</v>
      </c>
      <c r="C57" s="31" t="s">
        <v>85</v>
      </c>
      <c r="D57" s="32" t="s">
        <v>8</v>
      </c>
      <c r="E57" s="118" t="s">
        <v>303</v>
      </c>
    </row>
    <row r="58" spans="1:5" ht="18" x14ac:dyDescent="0.2">
      <c r="A58" s="17">
        <v>23</v>
      </c>
      <c r="B58" s="106">
        <v>12412</v>
      </c>
      <c r="C58" s="31" t="s">
        <v>86</v>
      </c>
      <c r="D58" s="32" t="s">
        <v>8</v>
      </c>
      <c r="E58" s="118" t="s">
        <v>303</v>
      </c>
    </row>
    <row r="59" spans="1:5" ht="18" x14ac:dyDescent="0.2">
      <c r="A59" s="17">
        <v>24</v>
      </c>
      <c r="B59" s="106">
        <v>12424</v>
      </c>
      <c r="C59" s="31" t="s">
        <v>87</v>
      </c>
      <c r="D59" s="32" t="s">
        <v>7</v>
      </c>
      <c r="E59" s="118" t="s">
        <v>303</v>
      </c>
    </row>
    <row r="60" spans="1:5" ht="18" x14ac:dyDescent="0.2">
      <c r="A60" s="17">
        <v>25</v>
      </c>
      <c r="B60" s="106">
        <v>12427</v>
      </c>
      <c r="C60" s="31" t="s">
        <v>88</v>
      </c>
      <c r="D60" s="32" t="s">
        <v>7</v>
      </c>
      <c r="E60" s="118" t="s">
        <v>303</v>
      </c>
    </row>
    <row r="61" spans="1:5" ht="18" x14ac:dyDescent="0.2">
      <c r="A61" s="17">
        <v>26</v>
      </c>
      <c r="B61" s="106">
        <v>12433</v>
      </c>
      <c r="C61" s="31" t="s">
        <v>89</v>
      </c>
      <c r="D61" s="32" t="s">
        <v>7</v>
      </c>
      <c r="E61" s="118" t="s">
        <v>303</v>
      </c>
    </row>
    <row r="62" spans="1:5" ht="18" x14ac:dyDescent="0.2">
      <c r="A62" s="17">
        <v>27</v>
      </c>
      <c r="B62" s="106">
        <v>12436</v>
      </c>
      <c r="C62" s="31" t="s">
        <v>90</v>
      </c>
      <c r="D62" s="32" t="s">
        <v>7</v>
      </c>
      <c r="E62" s="118" t="s">
        <v>303</v>
      </c>
    </row>
    <row r="63" spans="1:5" ht="18" x14ac:dyDescent="0.2">
      <c r="A63" s="17">
        <v>28</v>
      </c>
      <c r="B63" s="106">
        <v>12447</v>
      </c>
      <c r="C63" s="31" t="s">
        <v>91</v>
      </c>
      <c r="D63" s="32" t="s">
        <v>8</v>
      </c>
      <c r="E63" s="118" t="s">
        <v>303</v>
      </c>
    </row>
    <row r="64" spans="1:5" ht="18" x14ac:dyDescent="0.2">
      <c r="A64" s="17">
        <v>29</v>
      </c>
      <c r="B64" s="106">
        <v>12451</v>
      </c>
      <c r="C64" s="31" t="s">
        <v>92</v>
      </c>
      <c r="D64" s="32" t="s">
        <v>8</v>
      </c>
      <c r="E64" s="118" t="s">
        <v>303</v>
      </c>
    </row>
    <row r="65" spans="1:5" ht="18" x14ac:dyDescent="0.2">
      <c r="A65" s="17">
        <v>30</v>
      </c>
      <c r="B65" s="106">
        <v>12457</v>
      </c>
      <c r="C65" s="31" t="s">
        <v>93</v>
      </c>
      <c r="D65" s="32" t="s">
        <v>7</v>
      </c>
      <c r="E65" s="118" t="s">
        <v>303</v>
      </c>
    </row>
    <row r="66" spans="1:5" ht="18" x14ac:dyDescent="0.2">
      <c r="A66" s="17">
        <v>31</v>
      </c>
      <c r="B66" s="106">
        <v>12459</v>
      </c>
      <c r="C66" s="31" t="s">
        <v>94</v>
      </c>
      <c r="D66" s="32" t="s">
        <v>8</v>
      </c>
      <c r="E66" s="118" t="s">
        <v>303</v>
      </c>
    </row>
    <row r="67" spans="1:5" ht="18" x14ac:dyDescent="0.2">
      <c r="A67" s="17">
        <v>32</v>
      </c>
      <c r="B67" s="106">
        <v>12463</v>
      </c>
      <c r="C67" s="31" t="s">
        <v>95</v>
      </c>
      <c r="D67" s="32" t="s">
        <v>7</v>
      </c>
      <c r="E67" s="118" t="s">
        <v>303</v>
      </c>
    </row>
    <row r="68" spans="1:5" ht="18" x14ac:dyDescent="0.2">
      <c r="A68" s="17">
        <v>33</v>
      </c>
      <c r="B68" s="106">
        <v>12465</v>
      </c>
      <c r="C68" s="31" t="s">
        <v>96</v>
      </c>
      <c r="D68" s="32" t="s">
        <v>7</v>
      </c>
      <c r="E68" s="118" t="s">
        <v>303</v>
      </c>
    </row>
    <row r="69" spans="1:5" ht="18" x14ac:dyDescent="0.2">
      <c r="A69" s="17">
        <v>34</v>
      </c>
      <c r="B69" s="106">
        <v>12471</v>
      </c>
      <c r="C69" s="31" t="s">
        <v>97</v>
      </c>
      <c r="D69" s="32" t="s">
        <v>8</v>
      </c>
      <c r="E69" s="118" t="s">
        <v>303</v>
      </c>
    </row>
    <row r="70" spans="1:5" ht="18" x14ac:dyDescent="0.2">
      <c r="A70" s="17">
        <v>4</v>
      </c>
      <c r="B70" s="122">
        <v>12226</v>
      </c>
      <c r="C70" s="123" t="s">
        <v>169</v>
      </c>
      <c r="D70" s="124" t="s">
        <v>7</v>
      </c>
      <c r="E70" s="118" t="s">
        <v>304</v>
      </c>
    </row>
    <row r="71" spans="1:5" ht="18" x14ac:dyDescent="0.2">
      <c r="A71" s="17">
        <v>1</v>
      </c>
      <c r="B71" s="122">
        <v>12231</v>
      </c>
      <c r="C71" s="123" t="s">
        <v>98</v>
      </c>
      <c r="D71" s="124" t="s">
        <v>7</v>
      </c>
      <c r="E71" s="118" t="s">
        <v>304</v>
      </c>
    </row>
    <row r="72" spans="1:5" ht="18" x14ac:dyDescent="0.2">
      <c r="A72" s="17">
        <v>2</v>
      </c>
      <c r="B72" s="122">
        <v>12234</v>
      </c>
      <c r="C72" s="125" t="s">
        <v>99</v>
      </c>
      <c r="D72" s="126" t="s">
        <v>8</v>
      </c>
      <c r="E72" s="118" t="s">
        <v>304</v>
      </c>
    </row>
    <row r="73" spans="1:5" ht="18" x14ac:dyDescent="0.2">
      <c r="A73" s="17">
        <v>5</v>
      </c>
      <c r="B73" s="122">
        <v>12269</v>
      </c>
      <c r="C73" s="123" t="s">
        <v>102</v>
      </c>
      <c r="D73" s="124" t="s">
        <v>8</v>
      </c>
      <c r="E73" s="118" t="s">
        <v>304</v>
      </c>
    </row>
    <row r="74" spans="1:5" ht="18" x14ac:dyDescent="0.2">
      <c r="A74" s="17">
        <v>6</v>
      </c>
      <c r="B74" s="122">
        <v>12278</v>
      </c>
      <c r="C74" s="123" t="s">
        <v>103</v>
      </c>
      <c r="D74" s="124" t="s">
        <v>7</v>
      </c>
      <c r="E74" s="118" t="s">
        <v>304</v>
      </c>
    </row>
    <row r="75" spans="1:5" ht="18" x14ac:dyDescent="0.2">
      <c r="A75" s="17">
        <v>13</v>
      </c>
      <c r="B75" s="122">
        <v>12286</v>
      </c>
      <c r="C75" s="123" t="s">
        <v>178</v>
      </c>
      <c r="D75" s="124" t="s">
        <v>7</v>
      </c>
      <c r="E75" s="118" t="s">
        <v>304</v>
      </c>
    </row>
    <row r="76" spans="1:5" ht="18" x14ac:dyDescent="0.2">
      <c r="A76" s="17">
        <v>7</v>
      </c>
      <c r="B76" s="122">
        <v>12287</v>
      </c>
      <c r="C76" s="123" t="s">
        <v>104</v>
      </c>
      <c r="D76" s="124" t="s">
        <v>7</v>
      </c>
      <c r="E76" s="118" t="s">
        <v>304</v>
      </c>
    </row>
    <row r="77" spans="1:5" ht="18" x14ac:dyDescent="0.2">
      <c r="A77" s="17">
        <v>9</v>
      </c>
      <c r="B77" s="122">
        <v>12291</v>
      </c>
      <c r="C77" s="123" t="s">
        <v>106</v>
      </c>
      <c r="D77" s="124" t="s">
        <v>7</v>
      </c>
      <c r="E77" s="118" t="s">
        <v>304</v>
      </c>
    </row>
    <row r="78" spans="1:5" ht="18" x14ac:dyDescent="0.2">
      <c r="A78" s="17">
        <v>11</v>
      </c>
      <c r="B78" s="122">
        <v>12307</v>
      </c>
      <c r="C78" s="125" t="s">
        <v>108</v>
      </c>
      <c r="D78" s="126" t="s">
        <v>7</v>
      </c>
      <c r="E78" s="118" t="s">
        <v>304</v>
      </c>
    </row>
    <row r="79" spans="1:5" ht="18" x14ac:dyDescent="0.2">
      <c r="A79" s="17">
        <v>12</v>
      </c>
      <c r="B79" s="122">
        <v>12309</v>
      </c>
      <c r="C79" s="123" t="s">
        <v>109</v>
      </c>
      <c r="D79" s="124" t="s">
        <v>7</v>
      </c>
      <c r="E79" s="118" t="s">
        <v>304</v>
      </c>
    </row>
    <row r="80" spans="1:5" ht="18" x14ac:dyDescent="0.2">
      <c r="A80" s="17">
        <v>15</v>
      </c>
      <c r="B80" s="122">
        <v>12318</v>
      </c>
      <c r="C80" s="123" t="s">
        <v>112</v>
      </c>
      <c r="D80" s="126" t="s">
        <v>7</v>
      </c>
      <c r="E80" s="118" t="s">
        <v>304</v>
      </c>
    </row>
    <row r="81" spans="1:5" ht="18" x14ac:dyDescent="0.2">
      <c r="A81" s="17">
        <v>16</v>
      </c>
      <c r="B81" s="122">
        <v>12319</v>
      </c>
      <c r="C81" s="123" t="s">
        <v>113</v>
      </c>
      <c r="D81" s="126" t="s">
        <v>7</v>
      </c>
      <c r="E81" s="118" t="s">
        <v>304</v>
      </c>
    </row>
    <row r="82" spans="1:5" ht="18" x14ac:dyDescent="0.2">
      <c r="A82" s="17">
        <v>18</v>
      </c>
      <c r="B82" s="122">
        <v>12323</v>
      </c>
      <c r="C82" s="125" t="s">
        <v>115</v>
      </c>
      <c r="D82" s="126" t="s">
        <v>8</v>
      </c>
      <c r="E82" s="118" t="s">
        <v>304</v>
      </c>
    </row>
    <row r="83" spans="1:5" ht="18" x14ac:dyDescent="0.2">
      <c r="A83" s="17">
        <v>19</v>
      </c>
      <c r="B83" s="122">
        <v>12325</v>
      </c>
      <c r="C83" s="123" t="s">
        <v>116</v>
      </c>
      <c r="D83" s="126" t="s">
        <v>7</v>
      </c>
      <c r="E83" s="118" t="s">
        <v>304</v>
      </c>
    </row>
    <row r="84" spans="1:5" ht="18" x14ac:dyDescent="0.2">
      <c r="A84" s="17">
        <v>17</v>
      </c>
      <c r="B84" s="122">
        <v>12333</v>
      </c>
      <c r="C84" s="123" t="s">
        <v>182</v>
      </c>
      <c r="D84" s="124" t="s">
        <v>8</v>
      </c>
      <c r="E84" s="118" t="s">
        <v>304</v>
      </c>
    </row>
    <row r="85" spans="1:5" ht="18" x14ac:dyDescent="0.2">
      <c r="A85" s="17">
        <v>22</v>
      </c>
      <c r="B85" s="122">
        <v>12341</v>
      </c>
      <c r="C85" s="123" t="s">
        <v>119</v>
      </c>
      <c r="D85" s="124" t="s">
        <v>8</v>
      </c>
      <c r="E85" s="118" t="s">
        <v>304</v>
      </c>
    </row>
    <row r="86" spans="1:5" ht="18" x14ac:dyDescent="0.2">
      <c r="A86" s="17">
        <v>18</v>
      </c>
      <c r="B86" s="122">
        <v>12343</v>
      </c>
      <c r="C86" s="123" t="s">
        <v>183</v>
      </c>
      <c r="D86" s="124" t="s">
        <v>7</v>
      </c>
      <c r="E86" s="118" t="s">
        <v>304</v>
      </c>
    </row>
    <row r="87" spans="1:5" ht="18" x14ac:dyDescent="0.2">
      <c r="A87" s="17">
        <v>19</v>
      </c>
      <c r="B87" s="122">
        <v>12345</v>
      </c>
      <c r="C87" s="123" t="s">
        <v>184</v>
      </c>
      <c r="D87" s="124" t="s">
        <v>7</v>
      </c>
      <c r="E87" s="118" t="s">
        <v>304</v>
      </c>
    </row>
    <row r="88" spans="1:5" ht="18" x14ac:dyDescent="0.2">
      <c r="A88" s="17">
        <v>21</v>
      </c>
      <c r="B88" s="122">
        <v>12347</v>
      </c>
      <c r="C88" s="125" t="s">
        <v>186</v>
      </c>
      <c r="D88" s="126" t="s">
        <v>7</v>
      </c>
      <c r="E88" s="118" t="s">
        <v>304</v>
      </c>
    </row>
    <row r="89" spans="1:5" ht="18" x14ac:dyDescent="0.2">
      <c r="A89" s="17">
        <v>22</v>
      </c>
      <c r="B89" s="122">
        <v>12349</v>
      </c>
      <c r="C89" s="123" t="s">
        <v>187</v>
      </c>
      <c r="D89" s="124" t="s">
        <v>7</v>
      </c>
      <c r="E89" s="118" t="s">
        <v>304</v>
      </c>
    </row>
    <row r="90" spans="1:5" ht="18" x14ac:dyDescent="0.2">
      <c r="A90" s="17">
        <v>23</v>
      </c>
      <c r="B90" s="122">
        <v>12358</v>
      </c>
      <c r="C90" s="123" t="s">
        <v>120</v>
      </c>
      <c r="D90" s="124" t="s">
        <v>7</v>
      </c>
      <c r="E90" s="118" t="s">
        <v>304</v>
      </c>
    </row>
    <row r="91" spans="1:5" ht="18" x14ac:dyDescent="0.2">
      <c r="A91" s="17">
        <v>24</v>
      </c>
      <c r="B91" s="122">
        <v>12395</v>
      </c>
      <c r="C91" s="123" t="s">
        <v>121</v>
      </c>
      <c r="D91" s="124" t="s">
        <v>8</v>
      </c>
      <c r="E91" s="118" t="s">
        <v>304</v>
      </c>
    </row>
    <row r="92" spans="1:5" ht="18" x14ac:dyDescent="0.2">
      <c r="A92" s="17">
        <v>25</v>
      </c>
      <c r="B92" s="122">
        <v>12400</v>
      </c>
      <c r="C92" s="125" t="s">
        <v>122</v>
      </c>
      <c r="D92" s="124" t="s">
        <v>7</v>
      </c>
      <c r="E92" s="118" t="s">
        <v>304</v>
      </c>
    </row>
    <row r="93" spans="1:5" ht="18" x14ac:dyDescent="0.2">
      <c r="A93" s="17">
        <v>27</v>
      </c>
      <c r="B93" s="122">
        <v>12401</v>
      </c>
      <c r="C93" s="123" t="s">
        <v>192</v>
      </c>
      <c r="D93" s="124" t="s">
        <v>7</v>
      </c>
      <c r="E93" s="118" t="s">
        <v>304</v>
      </c>
    </row>
    <row r="94" spans="1:5" ht="18" x14ac:dyDescent="0.2">
      <c r="A94" s="17">
        <v>26</v>
      </c>
      <c r="B94" s="122">
        <v>12403</v>
      </c>
      <c r="C94" s="123" t="s">
        <v>123</v>
      </c>
      <c r="D94" s="126" t="s">
        <v>8</v>
      </c>
      <c r="E94" s="118" t="s">
        <v>304</v>
      </c>
    </row>
    <row r="95" spans="1:5" ht="18" x14ac:dyDescent="0.2">
      <c r="A95" s="17">
        <v>31</v>
      </c>
      <c r="B95" s="122">
        <v>12435</v>
      </c>
      <c r="C95" s="123" t="s">
        <v>196</v>
      </c>
      <c r="D95" s="124" t="s">
        <v>7</v>
      </c>
      <c r="E95" s="118" t="s">
        <v>304</v>
      </c>
    </row>
    <row r="96" spans="1:5" ht="18" x14ac:dyDescent="0.2">
      <c r="A96" s="17">
        <v>27</v>
      </c>
      <c r="B96" s="122">
        <v>12439</v>
      </c>
      <c r="C96" s="123" t="s">
        <v>124</v>
      </c>
      <c r="D96" s="124" t="s">
        <v>8</v>
      </c>
      <c r="E96" s="118" t="s">
        <v>304</v>
      </c>
    </row>
    <row r="97" spans="1:5" ht="18" x14ac:dyDescent="0.2">
      <c r="A97" s="17">
        <v>28</v>
      </c>
      <c r="B97" s="122">
        <v>12441</v>
      </c>
      <c r="C97" s="123" t="s">
        <v>125</v>
      </c>
      <c r="D97" s="124" t="s">
        <v>7</v>
      </c>
      <c r="E97" s="118" t="s">
        <v>304</v>
      </c>
    </row>
    <row r="98" spans="1:5" ht="18" x14ac:dyDescent="0.2">
      <c r="A98" s="17">
        <v>30</v>
      </c>
      <c r="B98" s="122">
        <v>12445</v>
      </c>
      <c r="C98" s="123" t="s">
        <v>127</v>
      </c>
      <c r="D98" s="124" t="s">
        <v>7</v>
      </c>
      <c r="E98" s="118" t="s">
        <v>304</v>
      </c>
    </row>
    <row r="99" spans="1:5" ht="18" x14ac:dyDescent="0.2">
      <c r="A99" s="17">
        <v>31</v>
      </c>
      <c r="B99" s="122">
        <v>12450</v>
      </c>
      <c r="C99" s="123" t="s">
        <v>128</v>
      </c>
      <c r="D99" s="124" t="s">
        <v>8</v>
      </c>
      <c r="E99" s="118" t="s">
        <v>304</v>
      </c>
    </row>
    <row r="100" spans="1:5" ht="18" x14ac:dyDescent="0.2">
      <c r="A100" s="17">
        <v>34</v>
      </c>
      <c r="B100" s="122">
        <v>12454</v>
      </c>
      <c r="C100" s="123" t="s">
        <v>199</v>
      </c>
      <c r="D100" s="124" t="s">
        <v>7</v>
      </c>
      <c r="E100" s="118" t="s">
        <v>304</v>
      </c>
    </row>
    <row r="101" spans="1:5" ht="18" x14ac:dyDescent="0.2">
      <c r="A101" s="17">
        <v>32</v>
      </c>
      <c r="B101" s="122">
        <v>12455</v>
      </c>
      <c r="C101" s="123" t="s">
        <v>129</v>
      </c>
      <c r="D101" s="124" t="s">
        <v>8</v>
      </c>
      <c r="E101" s="118" t="s">
        <v>304</v>
      </c>
    </row>
    <row r="102" spans="1:5" ht="18" x14ac:dyDescent="0.2">
      <c r="A102" s="17">
        <v>33</v>
      </c>
      <c r="B102" s="122">
        <v>12462</v>
      </c>
      <c r="C102" s="125" t="s">
        <v>130</v>
      </c>
      <c r="D102" s="124" t="s">
        <v>8</v>
      </c>
      <c r="E102" s="118" t="s">
        <v>304</v>
      </c>
    </row>
    <row r="103" spans="1:5" ht="18" x14ac:dyDescent="0.2">
      <c r="A103" s="17">
        <v>34</v>
      </c>
      <c r="B103" s="122">
        <v>12466</v>
      </c>
      <c r="C103" s="123" t="s">
        <v>131</v>
      </c>
      <c r="D103" s="126" t="s">
        <v>8</v>
      </c>
      <c r="E103" s="118" t="s">
        <v>304</v>
      </c>
    </row>
    <row r="104" spans="1:5" ht="18" x14ac:dyDescent="0.2">
      <c r="A104" s="17">
        <v>1</v>
      </c>
      <c r="B104" s="106">
        <v>12207</v>
      </c>
      <c r="C104" s="31" t="s">
        <v>132</v>
      </c>
      <c r="D104" s="32" t="s">
        <v>7</v>
      </c>
      <c r="E104" s="118" t="s">
        <v>306</v>
      </c>
    </row>
    <row r="105" spans="1:5" ht="18" x14ac:dyDescent="0.2">
      <c r="A105" s="17">
        <v>2</v>
      </c>
      <c r="B105" s="106">
        <v>12214</v>
      </c>
      <c r="C105" s="31" t="s">
        <v>133</v>
      </c>
      <c r="D105" s="32" t="s">
        <v>8</v>
      </c>
      <c r="E105" s="118" t="s">
        <v>306</v>
      </c>
    </row>
    <row r="106" spans="1:5" ht="18" x14ac:dyDescent="0.2">
      <c r="A106" s="17">
        <v>3</v>
      </c>
      <c r="B106" s="106">
        <v>12221</v>
      </c>
      <c r="C106" s="33" t="s">
        <v>134</v>
      </c>
      <c r="D106" s="34" t="s">
        <v>7</v>
      </c>
      <c r="E106" s="118" t="s">
        <v>306</v>
      </c>
    </row>
    <row r="107" spans="1:5" ht="18" x14ac:dyDescent="0.2">
      <c r="A107" s="17">
        <v>4</v>
      </c>
      <c r="B107" s="106">
        <v>12224</v>
      </c>
      <c r="C107" s="31" t="s">
        <v>135</v>
      </c>
      <c r="D107" s="32" t="s">
        <v>8</v>
      </c>
      <c r="E107" s="118" t="s">
        <v>306</v>
      </c>
    </row>
    <row r="108" spans="1:5" ht="18" x14ac:dyDescent="0.2">
      <c r="A108" s="17">
        <v>5</v>
      </c>
      <c r="B108" s="106">
        <v>12229</v>
      </c>
      <c r="C108" s="31" t="s">
        <v>136</v>
      </c>
      <c r="D108" s="32" t="s">
        <v>7</v>
      </c>
      <c r="E108" s="118" t="s">
        <v>306</v>
      </c>
    </row>
    <row r="109" spans="1:5" ht="18" x14ac:dyDescent="0.2">
      <c r="A109" s="17">
        <v>6</v>
      </c>
      <c r="B109" s="106">
        <v>12232</v>
      </c>
      <c r="C109" s="33" t="s">
        <v>137</v>
      </c>
      <c r="D109" s="34" t="s">
        <v>8</v>
      </c>
      <c r="E109" s="118" t="s">
        <v>306</v>
      </c>
    </row>
    <row r="110" spans="1:5" ht="18" x14ac:dyDescent="0.2">
      <c r="A110" s="17">
        <v>7</v>
      </c>
      <c r="B110" s="106">
        <v>12252</v>
      </c>
      <c r="C110" s="31" t="s">
        <v>138</v>
      </c>
      <c r="D110" s="32" t="s">
        <v>8</v>
      </c>
      <c r="E110" s="118" t="s">
        <v>306</v>
      </c>
    </row>
    <row r="111" spans="1:5" ht="18" x14ac:dyDescent="0.2">
      <c r="A111" s="17">
        <v>8</v>
      </c>
      <c r="B111" s="106">
        <v>12260</v>
      </c>
      <c r="C111" s="31" t="s">
        <v>139</v>
      </c>
      <c r="D111" s="32" t="s">
        <v>7</v>
      </c>
      <c r="E111" s="118" t="s">
        <v>306</v>
      </c>
    </row>
    <row r="112" spans="1:5" ht="18" x14ac:dyDescent="0.2">
      <c r="A112" s="17">
        <v>9</v>
      </c>
      <c r="B112" s="106">
        <v>12281</v>
      </c>
      <c r="C112" s="31" t="s">
        <v>140</v>
      </c>
      <c r="D112" s="32" t="s">
        <v>7</v>
      </c>
      <c r="E112" s="118" t="s">
        <v>306</v>
      </c>
    </row>
    <row r="113" spans="1:5" ht="18" x14ac:dyDescent="0.2">
      <c r="A113" s="17">
        <v>10</v>
      </c>
      <c r="B113" s="106">
        <v>12297</v>
      </c>
      <c r="C113" s="31" t="s">
        <v>141</v>
      </c>
      <c r="D113" s="32" t="s">
        <v>7</v>
      </c>
      <c r="E113" s="118" t="s">
        <v>306</v>
      </c>
    </row>
    <row r="114" spans="1:5" ht="18" x14ac:dyDescent="0.2">
      <c r="A114" s="17">
        <v>11</v>
      </c>
      <c r="B114" s="106">
        <v>12300</v>
      </c>
      <c r="C114" s="31" t="s">
        <v>142</v>
      </c>
      <c r="D114" s="32" t="s">
        <v>8</v>
      </c>
      <c r="E114" s="118" t="s">
        <v>306</v>
      </c>
    </row>
    <row r="115" spans="1:5" ht="18" x14ac:dyDescent="0.2">
      <c r="A115" s="17">
        <v>12</v>
      </c>
      <c r="B115" s="106">
        <v>12305</v>
      </c>
      <c r="C115" s="31" t="s">
        <v>143</v>
      </c>
      <c r="D115" s="32" t="s">
        <v>7</v>
      </c>
      <c r="E115" s="118" t="s">
        <v>306</v>
      </c>
    </row>
    <row r="116" spans="1:5" ht="18" x14ac:dyDescent="0.2">
      <c r="A116" s="17">
        <v>13</v>
      </c>
      <c r="B116" s="106">
        <v>12308</v>
      </c>
      <c r="C116" s="31" t="s">
        <v>144</v>
      </c>
      <c r="D116" s="32" t="s">
        <v>7</v>
      </c>
      <c r="E116" s="118" t="s">
        <v>306</v>
      </c>
    </row>
    <row r="117" spans="1:5" ht="18" x14ac:dyDescent="0.2">
      <c r="A117" s="17">
        <v>14</v>
      </c>
      <c r="B117" s="106">
        <v>12321</v>
      </c>
      <c r="C117" s="31" t="s">
        <v>145</v>
      </c>
      <c r="D117" s="32" t="s">
        <v>7</v>
      </c>
      <c r="E117" s="118" t="s">
        <v>306</v>
      </c>
    </row>
    <row r="118" spans="1:5" ht="18" x14ac:dyDescent="0.2">
      <c r="A118" s="17">
        <v>15</v>
      </c>
      <c r="B118" s="106">
        <v>12324</v>
      </c>
      <c r="C118" s="31" t="s">
        <v>146</v>
      </c>
      <c r="D118" s="32" t="s">
        <v>8</v>
      </c>
      <c r="E118" s="118" t="s">
        <v>306</v>
      </c>
    </row>
    <row r="119" spans="1:5" ht="18" x14ac:dyDescent="0.2">
      <c r="A119" s="17">
        <v>16</v>
      </c>
      <c r="B119" s="106">
        <v>12331</v>
      </c>
      <c r="C119" s="31" t="s">
        <v>147</v>
      </c>
      <c r="D119" s="32" t="s">
        <v>7</v>
      </c>
      <c r="E119" s="118" t="s">
        <v>306</v>
      </c>
    </row>
    <row r="120" spans="1:5" ht="18" x14ac:dyDescent="0.2">
      <c r="A120" s="17">
        <v>17</v>
      </c>
      <c r="B120" s="106">
        <v>12342</v>
      </c>
      <c r="C120" s="31" t="s">
        <v>148</v>
      </c>
      <c r="D120" s="32" t="s">
        <v>8</v>
      </c>
      <c r="E120" s="118" t="s">
        <v>306</v>
      </c>
    </row>
    <row r="121" spans="1:5" ht="18" x14ac:dyDescent="0.2">
      <c r="A121" s="17">
        <v>18</v>
      </c>
      <c r="B121" s="106">
        <v>12351</v>
      </c>
      <c r="C121" s="35" t="s">
        <v>149</v>
      </c>
      <c r="D121" s="34" t="s">
        <v>7</v>
      </c>
      <c r="E121" s="118" t="s">
        <v>306</v>
      </c>
    </row>
    <row r="122" spans="1:5" ht="18" x14ac:dyDescent="0.2">
      <c r="A122" s="17">
        <v>19</v>
      </c>
      <c r="B122" s="106">
        <v>12357</v>
      </c>
      <c r="C122" s="31" t="s">
        <v>150</v>
      </c>
      <c r="D122" s="32" t="s">
        <v>7</v>
      </c>
      <c r="E122" s="118" t="s">
        <v>306</v>
      </c>
    </row>
    <row r="123" spans="1:5" ht="18" x14ac:dyDescent="0.2">
      <c r="A123" s="17">
        <v>20</v>
      </c>
      <c r="B123" s="106">
        <v>12361</v>
      </c>
      <c r="C123" s="31" t="s">
        <v>151</v>
      </c>
      <c r="D123" s="32" t="s">
        <v>7</v>
      </c>
      <c r="E123" s="118" t="s">
        <v>306</v>
      </c>
    </row>
    <row r="124" spans="1:5" ht="33" x14ac:dyDescent="0.2">
      <c r="A124" s="17">
        <v>21</v>
      </c>
      <c r="B124" s="106">
        <v>12369</v>
      </c>
      <c r="C124" s="31" t="s">
        <v>152</v>
      </c>
      <c r="D124" s="32" t="s">
        <v>7</v>
      </c>
      <c r="E124" s="118" t="s">
        <v>306</v>
      </c>
    </row>
    <row r="125" spans="1:5" ht="18" x14ac:dyDescent="0.2">
      <c r="A125" s="17">
        <v>22</v>
      </c>
      <c r="B125" s="106">
        <v>12378</v>
      </c>
      <c r="C125" s="31" t="s">
        <v>153</v>
      </c>
      <c r="D125" s="32" t="s">
        <v>7</v>
      </c>
      <c r="E125" s="118" t="s">
        <v>306</v>
      </c>
    </row>
    <row r="126" spans="1:5" ht="18" x14ac:dyDescent="0.2">
      <c r="A126" s="17">
        <v>23</v>
      </c>
      <c r="B126" s="106">
        <v>12381</v>
      </c>
      <c r="C126" s="31" t="s">
        <v>154</v>
      </c>
      <c r="D126" s="32" t="s">
        <v>8</v>
      </c>
      <c r="E126" s="118" t="s">
        <v>306</v>
      </c>
    </row>
    <row r="127" spans="1:5" ht="18" x14ac:dyDescent="0.2">
      <c r="A127" s="17">
        <v>24</v>
      </c>
      <c r="B127" s="106">
        <v>12392</v>
      </c>
      <c r="C127" s="31" t="s">
        <v>155</v>
      </c>
      <c r="D127" s="32" t="s">
        <v>7</v>
      </c>
      <c r="E127" s="118" t="s">
        <v>306</v>
      </c>
    </row>
    <row r="128" spans="1:5" ht="18" x14ac:dyDescent="0.2">
      <c r="A128" s="17">
        <v>25</v>
      </c>
      <c r="B128" s="106">
        <v>12397</v>
      </c>
      <c r="C128" s="31" t="s">
        <v>156</v>
      </c>
      <c r="D128" s="32" t="s">
        <v>7</v>
      </c>
      <c r="E128" s="118" t="s">
        <v>306</v>
      </c>
    </row>
    <row r="129" spans="1:5" ht="18" x14ac:dyDescent="0.2">
      <c r="A129" s="17">
        <v>26</v>
      </c>
      <c r="B129" s="106">
        <v>12398</v>
      </c>
      <c r="C129" s="31" t="s">
        <v>157</v>
      </c>
      <c r="D129" s="32" t="s">
        <v>8</v>
      </c>
      <c r="E129" s="118" t="s">
        <v>306</v>
      </c>
    </row>
    <row r="130" spans="1:5" ht="18" x14ac:dyDescent="0.2">
      <c r="A130" s="17">
        <v>27</v>
      </c>
      <c r="B130" s="106">
        <v>12399</v>
      </c>
      <c r="C130" s="31" t="s">
        <v>158</v>
      </c>
      <c r="D130" s="32" t="s">
        <v>8</v>
      </c>
      <c r="E130" s="118" t="s">
        <v>306</v>
      </c>
    </row>
    <row r="131" spans="1:5" ht="18" x14ac:dyDescent="0.2">
      <c r="A131" s="17">
        <v>28</v>
      </c>
      <c r="B131" s="106">
        <v>12416</v>
      </c>
      <c r="C131" s="31" t="s">
        <v>159</v>
      </c>
      <c r="D131" s="32" t="s">
        <v>7</v>
      </c>
      <c r="E131" s="118" t="s">
        <v>306</v>
      </c>
    </row>
    <row r="132" spans="1:5" ht="18" x14ac:dyDescent="0.2">
      <c r="A132" s="17">
        <v>29</v>
      </c>
      <c r="B132" s="106">
        <v>12422</v>
      </c>
      <c r="C132" s="31" t="s">
        <v>160</v>
      </c>
      <c r="D132" s="32" t="s">
        <v>7</v>
      </c>
      <c r="E132" s="118" t="s">
        <v>306</v>
      </c>
    </row>
    <row r="133" spans="1:5" ht="18" x14ac:dyDescent="0.2">
      <c r="A133" s="17">
        <v>30</v>
      </c>
      <c r="B133" s="106">
        <v>12434</v>
      </c>
      <c r="C133" s="33" t="s">
        <v>161</v>
      </c>
      <c r="D133" s="34" t="s">
        <v>7</v>
      </c>
      <c r="E133" s="118" t="s">
        <v>306</v>
      </c>
    </row>
    <row r="134" spans="1:5" ht="18" x14ac:dyDescent="0.2">
      <c r="A134" s="17">
        <v>31</v>
      </c>
      <c r="B134" s="106">
        <v>12444</v>
      </c>
      <c r="C134" s="33" t="s">
        <v>162</v>
      </c>
      <c r="D134" s="34" t="s">
        <v>7</v>
      </c>
      <c r="E134" s="118" t="s">
        <v>306</v>
      </c>
    </row>
    <row r="135" spans="1:5" ht="18" x14ac:dyDescent="0.2">
      <c r="A135" s="17">
        <v>32</v>
      </c>
      <c r="B135" s="106">
        <v>12461</v>
      </c>
      <c r="C135" s="33" t="s">
        <v>163</v>
      </c>
      <c r="D135" s="34" t="s">
        <v>8</v>
      </c>
      <c r="E135" s="118" t="s">
        <v>306</v>
      </c>
    </row>
    <row r="136" spans="1:5" ht="18" x14ac:dyDescent="0.2">
      <c r="A136" s="17">
        <v>33</v>
      </c>
      <c r="B136" s="106">
        <v>12470</v>
      </c>
      <c r="C136" s="31" t="s">
        <v>164</v>
      </c>
      <c r="D136" s="32" t="s">
        <v>8</v>
      </c>
      <c r="E136" s="118" t="s">
        <v>306</v>
      </c>
    </row>
    <row r="137" spans="1:5" ht="18" x14ac:dyDescent="0.2">
      <c r="A137" s="17">
        <v>34</v>
      </c>
      <c r="B137" s="106">
        <v>12472</v>
      </c>
      <c r="C137" s="31" t="s">
        <v>165</v>
      </c>
      <c r="D137" s="32" t="s">
        <v>7</v>
      </c>
      <c r="E137" s="118" t="s">
        <v>306</v>
      </c>
    </row>
    <row r="138" spans="1:5" ht="18" x14ac:dyDescent="0.2">
      <c r="A138" s="17">
        <v>1</v>
      </c>
      <c r="B138" s="122">
        <v>12208</v>
      </c>
      <c r="C138" s="125" t="s">
        <v>166</v>
      </c>
      <c r="D138" s="126" t="s">
        <v>7</v>
      </c>
      <c r="E138" s="118" t="s">
        <v>309</v>
      </c>
    </row>
    <row r="139" spans="1:5" ht="18" x14ac:dyDescent="0.2">
      <c r="A139" s="17">
        <v>2</v>
      </c>
      <c r="B139" s="122">
        <v>12210</v>
      </c>
      <c r="C139" s="123" t="s">
        <v>167</v>
      </c>
      <c r="D139" s="124" t="s">
        <v>8</v>
      </c>
      <c r="E139" s="118" t="s">
        <v>309</v>
      </c>
    </row>
    <row r="140" spans="1:5" ht="18" x14ac:dyDescent="0.2">
      <c r="A140" s="17">
        <v>3</v>
      </c>
      <c r="B140" s="122">
        <v>12219</v>
      </c>
      <c r="C140" s="123" t="s">
        <v>168</v>
      </c>
      <c r="D140" s="124" t="s">
        <v>8</v>
      </c>
      <c r="E140" s="118" t="s">
        <v>309</v>
      </c>
    </row>
    <row r="141" spans="1:5" ht="18" x14ac:dyDescent="0.2">
      <c r="A141" s="17">
        <v>3</v>
      </c>
      <c r="B141" s="122">
        <v>12235</v>
      </c>
      <c r="C141" s="123" t="s">
        <v>100</v>
      </c>
      <c r="D141" s="124" t="s">
        <v>7</v>
      </c>
      <c r="E141" s="118" t="s">
        <v>309</v>
      </c>
    </row>
    <row r="142" spans="1:5" ht="18" x14ac:dyDescent="0.2">
      <c r="A142" s="17">
        <v>5</v>
      </c>
      <c r="B142" s="122">
        <v>12236</v>
      </c>
      <c r="C142" s="123" t="s">
        <v>170</v>
      </c>
      <c r="D142" s="124" t="s">
        <v>7</v>
      </c>
      <c r="E142" s="118" t="s">
        <v>309</v>
      </c>
    </row>
    <row r="143" spans="1:5" ht="18" x14ac:dyDescent="0.2">
      <c r="A143" s="17">
        <v>6</v>
      </c>
      <c r="B143" s="122">
        <v>12246</v>
      </c>
      <c r="C143" s="123" t="s">
        <v>171</v>
      </c>
      <c r="D143" s="124" t="s">
        <v>7</v>
      </c>
      <c r="E143" s="118" t="s">
        <v>309</v>
      </c>
    </row>
    <row r="144" spans="1:5" ht="18" x14ac:dyDescent="0.2">
      <c r="A144" s="17">
        <v>7</v>
      </c>
      <c r="B144" s="122">
        <v>12248</v>
      </c>
      <c r="C144" s="123" t="s">
        <v>172</v>
      </c>
      <c r="D144" s="124" t="s">
        <v>8</v>
      </c>
      <c r="E144" s="118" t="s">
        <v>309</v>
      </c>
    </row>
    <row r="145" spans="1:5" ht="18" x14ac:dyDescent="0.2">
      <c r="A145" s="17">
        <v>8</v>
      </c>
      <c r="B145" s="122">
        <v>12251</v>
      </c>
      <c r="C145" s="123" t="s">
        <v>173</v>
      </c>
      <c r="D145" s="124" t="s">
        <v>8</v>
      </c>
      <c r="E145" s="118" t="s">
        <v>309</v>
      </c>
    </row>
    <row r="146" spans="1:5" ht="18" x14ac:dyDescent="0.2">
      <c r="A146" s="17">
        <v>9</v>
      </c>
      <c r="B146" s="122">
        <v>12263</v>
      </c>
      <c r="C146" s="125" t="s">
        <v>174</v>
      </c>
      <c r="D146" s="126" t="s">
        <v>7</v>
      </c>
      <c r="E146" s="118" t="s">
        <v>309</v>
      </c>
    </row>
    <row r="147" spans="1:5" ht="18" x14ac:dyDescent="0.2">
      <c r="A147" s="17">
        <v>4</v>
      </c>
      <c r="B147" s="122">
        <v>12264</v>
      </c>
      <c r="C147" s="123" t="s">
        <v>101</v>
      </c>
      <c r="D147" s="124" t="s">
        <v>8</v>
      </c>
      <c r="E147" s="118" t="s">
        <v>309</v>
      </c>
    </row>
    <row r="148" spans="1:5" ht="18" x14ac:dyDescent="0.2">
      <c r="A148" s="17">
        <v>10</v>
      </c>
      <c r="B148" s="122">
        <v>12276</v>
      </c>
      <c r="C148" s="123" t="s">
        <v>175</v>
      </c>
      <c r="D148" s="124" t="s">
        <v>7</v>
      </c>
      <c r="E148" s="118" t="s">
        <v>309</v>
      </c>
    </row>
    <row r="149" spans="1:5" ht="18" x14ac:dyDescent="0.2">
      <c r="A149" s="17">
        <v>11</v>
      </c>
      <c r="B149" s="122">
        <v>12280</v>
      </c>
      <c r="C149" s="123" t="s">
        <v>176</v>
      </c>
      <c r="D149" s="124" t="s">
        <v>8</v>
      </c>
      <c r="E149" s="118" t="s">
        <v>309</v>
      </c>
    </row>
    <row r="150" spans="1:5" ht="18" x14ac:dyDescent="0.2">
      <c r="A150" s="17">
        <v>12</v>
      </c>
      <c r="B150" s="122">
        <v>12284</v>
      </c>
      <c r="C150" s="123" t="s">
        <v>177</v>
      </c>
      <c r="D150" s="124" t="s">
        <v>7</v>
      </c>
      <c r="E150" s="118" t="s">
        <v>309</v>
      </c>
    </row>
    <row r="151" spans="1:5" ht="18" x14ac:dyDescent="0.2">
      <c r="A151" s="17">
        <v>8</v>
      </c>
      <c r="B151" s="122">
        <v>12290</v>
      </c>
      <c r="C151" s="125" t="s">
        <v>105</v>
      </c>
      <c r="D151" s="126" t="s">
        <v>7</v>
      </c>
      <c r="E151" s="118" t="s">
        <v>309</v>
      </c>
    </row>
    <row r="152" spans="1:5" ht="18" x14ac:dyDescent="0.2">
      <c r="A152" s="17">
        <v>10</v>
      </c>
      <c r="B152" s="122">
        <v>12299</v>
      </c>
      <c r="C152" s="123" t="s">
        <v>107</v>
      </c>
      <c r="D152" s="124" t="s">
        <v>7</v>
      </c>
      <c r="E152" s="118" t="s">
        <v>309</v>
      </c>
    </row>
    <row r="153" spans="1:5" ht="18" x14ac:dyDescent="0.2">
      <c r="A153" s="17">
        <v>13</v>
      </c>
      <c r="B153" s="122">
        <v>12310</v>
      </c>
      <c r="C153" s="123" t="s">
        <v>110</v>
      </c>
      <c r="D153" s="124" t="s">
        <v>7</v>
      </c>
      <c r="E153" s="118" t="s">
        <v>309</v>
      </c>
    </row>
    <row r="154" spans="1:5" ht="18" x14ac:dyDescent="0.2">
      <c r="A154" s="17">
        <v>14</v>
      </c>
      <c r="B154" s="122">
        <v>12311</v>
      </c>
      <c r="C154" s="123" t="s">
        <v>179</v>
      </c>
      <c r="D154" s="124" t="s">
        <v>8</v>
      </c>
      <c r="E154" s="118" t="s">
        <v>309</v>
      </c>
    </row>
    <row r="155" spans="1:5" ht="18" x14ac:dyDescent="0.2">
      <c r="A155" s="17">
        <v>15</v>
      </c>
      <c r="B155" s="122">
        <v>12313</v>
      </c>
      <c r="C155" s="123" t="s">
        <v>180</v>
      </c>
      <c r="D155" s="124" t="s">
        <v>7</v>
      </c>
      <c r="E155" s="118" t="s">
        <v>309</v>
      </c>
    </row>
    <row r="156" spans="1:5" ht="18" x14ac:dyDescent="0.2">
      <c r="A156" s="17">
        <v>14</v>
      </c>
      <c r="B156" s="122">
        <v>12317</v>
      </c>
      <c r="C156" s="123" t="s">
        <v>111</v>
      </c>
      <c r="D156" s="124" t="s">
        <v>7</v>
      </c>
      <c r="E156" s="118" t="s">
        <v>309</v>
      </c>
    </row>
    <row r="157" spans="1:5" ht="18" x14ac:dyDescent="0.2">
      <c r="A157" s="17">
        <v>17</v>
      </c>
      <c r="B157" s="122">
        <v>12320</v>
      </c>
      <c r="C157" s="125" t="s">
        <v>114</v>
      </c>
      <c r="D157" s="124" t="s">
        <v>7</v>
      </c>
      <c r="E157" s="118" t="s">
        <v>309</v>
      </c>
    </row>
    <row r="158" spans="1:5" ht="18" x14ac:dyDescent="0.2">
      <c r="A158" s="17">
        <v>20</v>
      </c>
      <c r="B158" s="122">
        <v>12326</v>
      </c>
      <c r="C158" s="125" t="s">
        <v>117</v>
      </c>
      <c r="D158" s="124" t="s">
        <v>7</v>
      </c>
      <c r="E158" s="118" t="s">
        <v>309</v>
      </c>
    </row>
    <row r="159" spans="1:5" ht="18" x14ac:dyDescent="0.2">
      <c r="A159" s="17">
        <v>16</v>
      </c>
      <c r="B159" s="122">
        <v>12330</v>
      </c>
      <c r="C159" s="125" t="s">
        <v>181</v>
      </c>
      <c r="D159" s="126" t="s">
        <v>8</v>
      </c>
      <c r="E159" s="118" t="s">
        <v>309</v>
      </c>
    </row>
    <row r="160" spans="1:5" ht="18" x14ac:dyDescent="0.2">
      <c r="A160" s="17">
        <v>21</v>
      </c>
      <c r="B160" s="122">
        <v>12335</v>
      </c>
      <c r="C160" s="123" t="s">
        <v>118</v>
      </c>
      <c r="D160" s="126" t="s">
        <v>7</v>
      </c>
      <c r="E160" s="118" t="s">
        <v>309</v>
      </c>
    </row>
    <row r="161" spans="1:5" ht="18" x14ac:dyDescent="0.2">
      <c r="A161" s="17">
        <v>20</v>
      </c>
      <c r="B161" s="122">
        <v>12346</v>
      </c>
      <c r="C161" s="123" t="s">
        <v>185</v>
      </c>
      <c r="D161" s="124" t="s">
        <v>8</v>
      </c>
      <c r="E161" s="118" t="s">
        <v>309</v>
      </c>
    </row>
    <row r="162" spans="1:5" ht="18" x14ac:dyDescent="0.2">
      <c r="A162" s="17">
        <v>23</v>
      </c>
      <c r="B162" s="122">
        <v>12354</v>
      </c>
      <c r="C162" s="123" t="s">
        <v>188</v>
      </c>
      <c r="D162" s="124" t="s">
        <v>7</v>
      </c>
      <c r="E162" s="118" t="s">
        <v>309</v>
      </c>
    </row>
    <row r="163" spans="1:5" ht="18" x14ac:dyDescent="0.2">
      <c r="A163" s="17">
        <v>24</v>
      </c>
      <c r="B163" s="122">
        <v>12365</v>
      </c>
      <c r="C163" s="123" t="s">
        <v>189</v>
      </c>
      <c r="D163" s="124" t="s">
        <v>7</v>
      </c>
      <c r="E163" s="118" t="s">
        <v>309</v>
      </c>
    </row>
    <row r="164" spans="1:5" ht="33" x14ac:dyDescent="0.2">
      <c r="A164" s="17">
        <v>25</v>
      </c>
      <c r="B164" s="122">
        <v>12371</v>
      </c>
      <c r="C164" s="123" t="s">
        <v>190</v>
      </c>
      <c r="D164" s="124" t="s">
        <v>7</v>
      </c>
      <c r="E164" s="118" t="s">
        <v>309</v>
      </c>
    </row>
    <row r="165" spans="1:5" ht="18" x14ac:dyDescent="0.2">
      <c r="A165" s="17">
        <v>26</v>
      </c>
      <c r="B165" s="122">
        <v>12384</v>
      </c>
      <c r="C165" s="123" t="s">
        <v>191</v>
      </c>
      <c r="D165" s="124" t="s">
        <v>8</v>
      </c>
      <c r="E165" s="118" t="s">
        <v>309</v>
      </c>
    </row>
    <row r="166" spans="1:5" ht="18" x14ac:dyDescent="0.2">
      <c r="A166" s="17">
        <v>28</v>
      </c>
      <c r="B166" s="122">
        <v>12402</v>
      </c>
      <c r="C166" s="125" t="s">
        <v>193</v>
      </c>
      <c r="D166" s="126" t="s">
        <v>8</v>
      </c>
      <c r="E166" s="118" t="s">
        <v>309</v>
      </c>
    </row>
    <row r="167" spans="1:5" ht="18" x14ac:dyDescent="0.2">
      <c r="A167" s="17">
        <v>29</v>
      </c>
      <c r="B167" s="122">
        <v>12418</v>
      </c>
      <c r="C167" s="123" t="s">
        <v>194</v>
      </c>
      <c r="D167" s="124" t="s">
        <v>7</v>
      </c>
      <c r="E167" s="118" t="s">
        <v>309</v>
      </c>
    </row>
    <row r="168" spans="1:5" ht="18" x14ac:dyDescent="0.2">
      <c r="A168" s="17">
        <v>30</v>
      </c>
      <c r="B168" s="122">
        <v>12429</v>
      </c>
      <c r="C168" s="123" t="s">
        <v>195</v>
      </c>
      <c r="D168" s="124" t="s">
        <v>7</v>
      </c>
      <c r="E168" s="118" t="s">
        <v>309</v>
      </c>
    </row>
    <row r="169" spans="1:5" ht="18" x14ac:dyDescent="0.2">
      <c r="A169" s="17">
        <v>32</v>
      </c>
      <c r="B169" s="122">
        <v>12437</v>
      </c>
      <c r="C169" s="123" t="s">
        <v>197</v>
      </c>
      <c r="D169" s="124" t="s">
        <v>7</v>
      </c>
      <c r="E169" s="118" t="s">
        <v>309</v>
      </c>
    </row>
    <row r="170" spans="1:5" ht="33" x14ac:dyDescent="0.2">
      <c r="A170" s="17">
        <v>29</v>
      </c>
      <c r="B170" s="122">
        <v>12442</v>
      </c>
      <c r="C170" s="123" t="s">
        <v>126</v>
      </c>
      <c r="D170" s="124" t="s">
        <v>7</v>
      </c>
      <c r="E170" s="118" t="s">
        <v>309</v>
      </c>
    </row>
    <row r="171" spans="1:5" ht="18" x14ac:dyDescent="0.2">
      <c r="A171" s="17">
        <v>33</v>
      </c>
      <c r="B171" s="122">
        <v>12448</v>
      </c>
      <c r="C171" s="123" t="s">
        <v>198</v>
      </c>
      <c r="D171" s="124" t="s">
        <v>8</v>
      </c>
      <c r="E171" s="118" t="s">
        <v>309</v>
      </c>
    </row>
    <row r="172" spans="1:5" ht="18" x14ac:dyDescent="0.2">
      <c r="A172" s="17">
        <v>1</v>
      </c>
      <c r="B172" s="106">
        <v>12230</v>
      </c>
      <c r="C172" s="31" t="s">
        <v>200</v>
      </c>
      <c r="D172" s="32" t="s">
        <v>8</v>
      </c>
      <c r="E172" s="118" t="s">
        <v>310</v>
      </c>
    </row>
    <row r="173" spans="1:5" ht="18" x14ac:dyDescent="0.2">
      <c r="A173" s="17">
        <v>2</v>
      </c>
      <c r="B173" s="106">
        <v>12240</v>
      </c>
      <c r="C173" s="31" t="s">
        <v>201</v>
      </c>
      <c r="D173" s="32" t="s">
        <v>7</v>
      </c>
      <c r="E173" s="118" t="s">
        <v>310</v>
      </c>
    </row>
    <row r="174" spans="1:5" ht="18" x14ac:dyDescent="0.2">
      <c r="A174" s="17">
        <v>3</v>
      </c>
      <c r="B174" s="106">
        <v>12241</v>
      </c>
      <c r="C174" s="31" t="s">
        <v>202</v>
      </c>
      <c r="D174" s="32" t="s">
        <v>7</v>
      </c>
      <c r="E174" s="118" t="s">
        <v>310</v>
      </c>
    </row>
    <row r="175" spans="1:5" ht="18" x14ac:dyDescent="0.2">
      <c r="A175" s="17">
        <v>4</v>
      </c>
      <c r="B175" s="106">
        <v>12249</v>
      </c>
      <c r="C175" s="31" t="s">
        <v>203</v>
      </c>
      <c r="D175" s="32" t="s">
        <v>8</v>
      </c>
      <c r="E175" s="118" t="s">
        <v>310</v>
      </c>
    </row>
    <row r="176" spans="1:5" ht="18" x14ac:dyDescent="0.2">
      <c r="A176" s="17">
        <v>5</v>
      </c>
      <c r="B176" s="106">
        <v>12259</v>
      </c>
      <c r="C176" s="31" t="s">
        <v>204</v>
      </c>
      <c r="D176" s="32" t="s">
        <v>7</v>
      </c>
      <c r="E176" s="118" t="s">
        <v>310</v>
      </c>
    </row>
    <row r="177" spans="1:5" ht="18" x14ac:dyDescent="0.2">
      <c r="A177" s="17">
        <v>6</v>
      </c>
      <c r="B177" s="106">
        <v>12265</v>
      </c>
      <c r="C177" s="31" t="s">
        <v>205</v>
      </c>
      <c r="D177" s="32" t="s">
        <v>7</v>
      </c>
      <c r="E177" s="118" t="s">
        <v>310</v>
      </c>
    </row>
    <row r="178" spans="1:5" ht="18" x14ac:dyDescent="0.2">
      <c r="A178" s="17">
        <v>7</v>
      </c>
      <c r="B178" s="106">
        <v>12270</v>
      </c>
      <c r="C178" s="31" t="s">
        <v>206</v>
      </c>
      <c r="D178" s="32" t="s">
        <v>8</v>
      </c>
      <c r="E178" s="118" t="s">
        <v>310</v>
      </c>
    </row>
    <row r="179" spans="1:5" ht="18" x14ac:dyDescent="0.2">
      <c r="A179" s="17">
        <v>8</v>
      </c>
      <c r="B179" s="106">
        <v>12274</v>
      </c>
      <c r="C179" s="33" t="s">
        <v>207</v>
      </c>
      <c r="D179" s="34" t="s">
        <v>8</v>
      </c>
      <c r="E179" s="118" t="s">
        <v>310</v>
      </c>
    </row>
    <row r="180" spans="1:5" ht="18" x14ac:dyDescent="0.2">
      <c r="A180" s="17">
        <v>9</v>
      </c>
      <c r="B180" s="106">
        <v>12285</v>
      </c>
      <c r="C180" s="31" t="s">
        <v>208</v>
      </c>
      <c r="D180" s="32" t="s">
        <v>7</v>
      </c>
      <c r="E180" s="118" t="s">
        <v>310</v>
      </c>
    </row>
    <row r="181" spans="1:5" ht="18" x14ac:dyDescent="0.2">
      <c r="A181" s="17">
        <v>10</v>
      </c>
      <c r="B181" s="106">
        <v>12288</v>
      </c>
      <c r="C181" s="31" t="s">
        <v>209</v>
      </c>
      <c r="D181" s="32" t="s">
        <v>7</v>
      </c>
      <c r="E181" s="118" t="s">
        <v>310</v>
      </c>
    </row>
    <row r="182" spans="1:5" ht="18" x14ac:dyDescent="0.2">
      <c r="A182" s="17">
        <v>11</v>
      </c>
      <c r="B182" s="106">
        <v>12294</v>
      </c>
      <c r="C182" s="31" t="s">
        <v>210</v>
      </c>
      <c r="D182" s="32" t="s">
        <v>8</v>
      </c>
      <c r="E182" s="118" t="s">
        <v>310</v>
      </c>
    </row>
    <row r="183" spans="1:5" ht="18" x14ac:dyDescent="0.2">
      <c r="A183" s="17">
        <v>12</v>
      </c>
      <c r="B183" s="106">
        <v>12295</v>
      </c>
      <c r="C183" s="31" t="s">
        <v>211</v>
      </c>
      <c r="D183" s="32" t="s">
        <v>7</v>
      </c>
      <c r="E183" s="118" t="s">
        <v>310</v>
      </c>
    </row>
    <row r="184" spans="1:5" ht="18" x14ac:dyDescent="0.2">
      <c r="A184" s="17">
        <v>13</v>
      </c>
      <c r="B184" s="106">
        <v>12314</v>
      </c>
      <c r="C184" s="31" t="s">
        <v>212</v>
      </c>
      <c r="D184" s="32" t="s">
        <v>7</v>
      </c>
      <c r="E184" s="118" t="s">
        <v>310</v>
      </c>
    </row>
    <row r="185" spans="1:5" ht="18" x14ac:dyDescent="0.2">
      <c r="A185" s="17">
        <v>14</v>
      </c>
      <c r="B185" s="106">
        <v>12316</v>
      </c>
      <c r="C185" s="31" t="s">
        <v>213</v>
      </c>
      <c r="D185" s="32" t="s">
        <v>7</v>
      </c>
      <c r="E185" s="118" t="s">
        <v>310</v>
      </c>
    </row>
    <row r="186" spans="1:5" ht="18" x14ac:dyDescent="0.2">
      <c r="A186" s="17">
        <v>15</v>
      </c>
      <c r="B186" s="106">
        <v>12334</v>
      </c>
      <c r="C186" s="31" t="s">
        <v>214</v>
      </c>
      <c r="D186" s="32" t="s">
        <v>8</v>
      </c>
      <c r="E186" s="118" t="s">
        <v>310</v>
      </c>
    </row>
    <row r="187" spans="1:5" ht="33" x14ac:dyDescent="0.2">
      <c r="A187" s="17">
        <v>16</v>
      </c>
      <c r="B187" s="106">
        <v>12339</v>
      </c>
      <c r="C187" s="31" t="s">
        <v>215</v>
      </c>
      <c r="D187" s="32" t="s">
        <v>8</v>
      </c>
      <c r="E187" s="118" t="s">
        <v>310</v>
      </c>
    </row>
    <row r="188" spans="1:5" ht="18" x14ac:dyDescent="0.2">
      <c r="A188" s="17">
        <v>17</v>
      </c>
      <c r="B188" s="106">
        <v>12353</v>
      </c>
      <c r="C188" s="31" t="s">
        <v>216</v>
      </c>
      <c r="D188" s="32" t="s">
        <v>7</v>
      </c>
      <c r="E188" s="118" t="s">
        <v>310</v>
      </c>
    </row>
    <row r="189" spans="1:5" ht="18" x14ac:dyDescent="0.2">
      <c r="A189" s="17">
        <v>18</v>
      </c>
      <c r="B189" s="106">
        <v>12355</v>
      </c>
      <c r="C189" s="31" t="s">
        <v>217</v>
      </c>
      <c r="D189" s="32" t="s">
        <v>7</v>
      </c>
      <c r="E189" s="118" t="s">
        <v>310</v>
      </c>
    </row>
    <row r="190" spans="1:5" ht="18" x14ac:dyDescent="0.2">
      <c r="A190" s="17">
        <v>19</v>
      </c>
      <c r="B190" s="106">
        <v>12372</v>
      </c>
      <c r="C190" s="31" t="s">
        <v>218</v>
      </c>
      <c r="D190" s="32" t="s">
        <v>7</v>
      </c>
      <c r="E190" s="118" t="s">
        <v>310</v>
      </c>
    </row>
    <row r="191" spans="1:5" ht="18" x14ac:dyDescent="0.2">
      <c r="A191" s="17">
        <v>20</v>
      </c>
      <c r="B191" s="106">
        <v>12374</v>
      </c>
      <c r="C191" s="31" t="s">
        <v>219</v>
      </c>
      <c r="D191" s="32" t="s">
        <v>7</v>
      </c>
      <c r="E191" s="118" t="s">
        <v>310</v>
      </c>
    </row>
    <row r="192" spans="1:5" ht="18" x14ac:dyDescent="0.2">
      <c r="A192" s="17">
        <v>21</v>
      </c>
      <c r="B192" s="106">
        <v>12386</v>
      </c>
      <c r="C192" s="31" t="s">
        <v>220</v>
      </c>
      <c r="D192" s="32" t="s">
        <v>8</v>
      </c>
      <c r="E192" s="118" t="s">
        <v>310</v>
      </c>
    </row>
    <row r="193" spans="1:5" ht="18" x14ac:dyDescent="0.2">
      <c r="A193" s="17">
        <v>22</v>
      </c>
      <c r="B193" s="106">
        <v>12394</v>
      </c>
      <c r="C193" s="31" t="s">
        <v>221</v>
      </c>
      <c r="D193" s="32" t="s">
        <v>8</v>
      </c>
      <c r="E193" s="118" t="s">
        <v>310</v>
      </c>
    </row>
    <row r="194" spans="1:5" ht="18" x14ac:dyDescent="0.2">
      <c r="A194" s="17">
        <v>23</v>
      </c>
      <c r="B194" s="106">
        <v>12406</v>
      </c>
      <c r="C194" s="31" t="s">
        <v>222</v>
      </c>
      <c r="D194" s="32" t="s">
        <v>7</v>
      </c>
      <c r="E194" s="118" t="s">
        <v>310</v>
      </c>
    </row>
    <row r="195" spans="1:5" ht="18" x14ac:dyDescent="0.2">
      <c r="A195" s="17">
        <v>24</v>
      </c>
      <c r="B195" s="106">
        <v>12409</v>
      </c>
      <c r="C195" s="31" t="s">
        <v>223</v>
      </c>
      <c r="D195" s="32" t="s">
        <v>8</v>
      </c>
      <c r="E195" s="118" t="s">
        <v>310</v>
      </c>
    </row>
    <row r="196" spans="1:5" ht="18" x14ac:dyDescent="0.2">
      <c r="A196" s="17">
        <v>25</v>
      </c>
      <c r="B196" s="106">
        <v>12411</v>
      </c>
      <c r="C196" s="69" t="s">
        <v>224</v>
      </c>
      <c r="D196" s="34" t="s">
        <v>8</v>
      </c>
      <c r="E196" s="118" t="s">
        <v>310</v>
      </c>
    </row>
    <row r="197" spans="1:5" ht="18" x14ac:dyDescent="0.2">
      <c r="A197" s="17">
        <v>26</v>
      </c>
      <c r="B197" s="106">
        <v>12414</v>
      </c>
      <c r="C197" s="31" t="s">
        <v>225</v>
      </c>
      <c r="D197" s="32" t="s">
        <v>7</v>
      </c>
      <c r="E197" s="118" t="s">
        <v>310</v>
      </c>
    </row>
    <row r="198" spans="1:5" ht="18" x14ac:dyDescent="0.2">
      <c r="A198" s="17">
        <v>27</v>
      </c>
      <c r="B198" s="106">
        <v>12419</v>
      </c>
      <c r="C198" s="31" t="s">
        <v>226</v>
      </c>
      <c r="D198" s="32" t="s">
        <v>7</v>
      </c>
      <c r="E198" s="118" t="s">
        <v>310</v>
      </c>
    </row>
    <row r="199" spans="1:5" ht="18" x14ac:dyDescent="0.2">
      <c r="A199" s="17">
        <v>28</v>
      </c>
      <c r="B199" s="106">
        <v>12428</v>
      </c>
      <c r="C199" s="31" t="s">
        <v>227</v>
      </c>
      <c r="D199" s="32" t="s">
        <v>7</v>
      </c>
      <c r="E199" s="118" t="s">
        <v>310</v>
      </c>
    </row>
    <row r="200" spans="1:5" ht="18" x14ac:dyDescent="0.2">
      <c r="A200" s="17">
        <v>29</v>
      </c>
      <c r="B200" s="106">
        <v>12430</v>
      </c>
      <c r="C200" s="33" t="s">
        <v>228</v>
      </c>
      <c r="D200" s="34" t="s">
        <v>7</v>
      </c>
      <c r="E200" s="118" t="s">
        <v>310</v>
      </c>
    </row>
    <row r="201" spans="1:5" ht="18" x14ac:dyDescent="0.2">
      <c r="A201" s="17">
        <v>30</v>
      </c>
      <c r="B201" s="106">
        <v>12432</v>
      </c>
      <c r="C201" s="31" t="s">
        <v>229</v>
      </c>
      <c r="D201" s="32" t="s">
        <v>7</v>
      </c>
      <c r="E201" s="118" t="s">
        <v>310</v>
      </c>
    </row>
    <row r="202" spans="1:5" ht="18" x14ac:dyDescent="0.2">
      <c r="A202" s="17">
        <v>31</v>
      </c>
      <c r="B202" s="106">
        <v>12440</v>
      </c>
      <c r="C202" s="31" t="s">
        <v>230</v>
      </c>
      <c r="D202" s="32" t="s">
        <v>7</v>
      </c>
      <c r="E202" s="118" t="s">
        <v>310</v>
      </c>
    </row>
    <row r="203" spans="1:5" ht="18" x14ac:dyDescent="0.2">
      <c r="A203" s="17">
        <v>32</v>
      </c>
      <c r="B203" s="106">
        <v>12449</v>
      </c>
      <c r="C203" s="31" t="s">
        <v>231</v>
      </c>
      <c r="D203" s="32" t="s">
        <v>8</v>
      </c>
      <c r="E203" s="118" t="s">
        <v>310</v>
      </c>
    </row>
    <row r="204" spans="1:5" ht="18" x14ac:dyDescent="0.2">
      <c r="A204" s="17">
        <v>33</v>
      </c>
      <c r="B204" s="106">
        <v>12458</v>
      </c>
      <c r="C204" s="31" t="s">
        <v>232</v>
      </c>
      <c r="D204" s="32" t="s">
        <v>7</v>
      </c>
      <c r="E204" s="118" t="s">
        <v>310</v>
      </c>
    </row>
    <row r="205" spans="1:5" ht="18" x14ac:dyDescent="0.2">
      <c r="A205" s="17">
        <v>34</v>
      </c>
      <c r="B205" s="106">
        <v>12468</v>
      </c>
      <c r="C205" s="31" t="s">
        <v>233</v>
      </c>
      <c r="D205" s="32" t="s">
        <v>7</v>
      </c>
      <c r="E205" s="118" t="s">
        <v>310</v>
      </c>
    </row>
    <row r="206" spans="1:5" ht="18" x14ac:dyDescent="0.2">
      <c r="A206" s="17">
        <v>1</v>
      </c>
      <c r="B206" s="122">
        <v>12212</v>
      </c>
      <c r="C206" s="123" t="s">
        <v>234</v>
      </c>
      <c r="D206" s="124" t="s">
        <v>7</v>
      </c>
      <c r="E206" s="118" t="s">
        <v>311</v>
      </c>
    </row>
    <row r="207" spans="1:5" ht="18" x14ac:dyDescent="0.2">
      <c r="A207" s="17">
        <v>2</v>
      </c>
      <c r="B207" s="122">
        <v>12213</v>
      </c>
      <c r="C207" s="123" t="s">
        <v>235</v>
      </c>
      <c r="D207" s="124" t="s">
        <v>8</v>
      </c>
      <c r="E207" s="118" t="s">
        <v>311</v>
      </c>
    </row>
    <row r="208" spans="1:5" ht="18" x14ac:dyDescent="0.2">
      <c r="A208" s="17">
        <v>3</v>
      </c>
      <c r="B208" s="122">
        <v>12215</v>
      </c>
      <c r="C208" s="123" t="s">
        <v>236</v>
      </c>
      <c r="D208" s="124" t="s">
        <v>7</v>
      </c>
      <c r="E208" s="118" t="s">
        <v>311</v>
      </c>
    </row>
    <row r="209" spans="1:5" ht="18" x14ac:dyDescent="0.2">
      <c r="A209" s="17">
        <v>4</v>
      </c>
      <c r="B209" s="122">
        <v>12218</v>
      </c>
      <c r="C209" s="123" t="s">
        <v>237</v>
      </c>
      <c r="D209" s="124" t="s">
        <v>7</v>
      </c>
      <c r="E209" s="118" t="s">
        <v>311</v>
      </c>
    </row>
    <row r="210" spans="1:5" ht="18" x14ac:dyDescent="0.2">
      <c r="A210" s="17">
        <v>5</v>
      </c>
      <c r="B210" s="122">
        <v>12228</v>
      </c>
      <c r="C210" s="123" t="s">
        <v>238</v>
      </c>
      <c r="D210" s="124" t="s">
        <v>7</v>
      </c>
      <c r="E210" s="118" t="s">
        <v>311</v>
      </c>
    </row>
    <row r="211" spans="1:5" ht="18" x14ac:dyDescent="0.2">
      <c r="A211" s="17">
        <v>6</v>
      </c>
      <c r="B211" s="122">
        <v>12253</v>
      </c>
      <c r="C211" s="123" t="s">
        <v>239</v>
      </c>
      <c r="D211" s="124" t="s">
        <v>7</v>
      </c>
      <c r="E211" s="118" t="s">
        <v>311</v>
      </c>
    </row>
    <row r="212" spans="1:5" ht="18" x14ac:dyDescent="0.2">
      <c r="A212" s="17">
        <v>7</v>
      </c>
      <c r="B212" s="122">
        <v>12254</v>
      </c>
      <c r="C212" s="123" t="s">
        <v>240</v>
      </c>
      <c r="D212" s="124" t="s">
        <v>7</v>
      </c>
      <c r="E212" s="118" t="s">
        <v>311</v>
      </c>
    </row>
    <row r="213" spans="1:5" ht="18" x14ac:dyDescent="0.2">
      <c r="A213" s="17">
        <v>8</v>
      </c>
      <c r="B213" s="122">
        <v>12258</v>
      </c>
      <c r="C213" s="125" t="s">
        <v>241</v>
      </c>
      <c r="D213" s="126" t="s">
        <v>7</v>
      </c>
      <c r="E213" s="118" t="s">
        <v>311</v>
      </c>
    </row>
    <row r="214" spans="1:5" ht="18" x14ac:dyDescent="0.2">
      <c r="A214" s="17">
        <v>9</v>
      </c>
      <c r="B214" s="122">
        <v>12267</v>
      </c>
      <c r="C214" s="125" t="s">
        <v>242</v>
      </c>
      <c r="D214" s="126" t="s">
        <v>8</v>
      </c>
      <c r="E214" s="118" t="s">
        <v>311</v>
      </c>
    </row>
    <row r="215" spans="1:5" ht="18" x14ac:dyDescent="0.2">
      <c r="A215" s="17">
        <v>10</v>
      </c>
      <c r="B215" s="122">
        <v>12271</v>
      </c>
      <c r="C215" s="123" t="s">
        <v>243</v>
      </c>
      <c r="D215" s="124" t="s">
        <v>7</v>
      </c>
      <c r="E215" s="118" t="s">
        <v>311</v>
      </c>
    </row>
    <row r="216" spans="1:5" ht="18" x14ac:dyDescent="0.2">
      <c r="A216" s="17">
        <v>11</v>
      </c>
      <c r="B216" s="122">
        <v>12279</v>
      </c>
      <c r="C216" s="123" t="s">
        <v>244</v>
      </c>
      <c r="D216" s="124" t="s">
        <v>8</v>
      </c>
      <c r="E216" s="118" t="s">
        <v>311</v>
      </c>
    </row>
    <row r="217" spans="1:5" ht="18" x14ac:dyDescent="0.2">
      <c r="A217" s="17">
        <v>12</v>
      </c>
      <c r="B217" s="122">
        <v>12283</v>
      </c>
      <c r="C217" s="123" t="s">
        <v>245</v>
      </c>
      <c r="D217" s="124" t="s">
        <v>7</v>
      </c>
      <c r="E217" s="118" t="s">
        <v>311</v>
      </c>
    </row>
    <row r="218" spans="1:5" ht="18" x14ac:dyDescent="0.2">
      <c r="A218" s="17">
        <v>13</v>
      </c>
      <c r="B218" s="122">
        <v>12303</v>
      </c>
      <c r="C218" s="125" t="s">
        <v>246</v>
      </c>
      <c r="D218" s="126" t="s">
        <v>7</v>
      </c>
      <c r="E218" s="118" t="s">
        <v>311</v>
      </c>
    </row>
    <row r="219" spans="1:5" ht="18" x14ac:dyDescent="0.2">
      <c r="A219" s="17">
        <v>14</v>
      </c>
      <c r="B219" s="122">
        <v>12315</v>
      </c>
      <c r="C219" s="125" t="s">
        <v>247</v>
      </c>
      <c r="D219" s="126" t="s">
        <v>7</v>
      </c>
      <c r="E219" s="118" t="s">
        <v>311</v>
      </c>
    </row>
    <row r="220" spans="1:5" ht="18" x14ac:dyDescent="0.2">
      <c r="A220" s="17">
        <v>15</v>
      </c>
      <c r="B220" s="122">
        <v>12328</v>
      </c>
      <c r="C220" s="123" t="s">
        <v>248</v>
      </c>
      <c r="D220" s="124" t="s">
        <v>7</v>
      </c>
      <c r="E220" s="118" t="s">
        <v>311</v>
      </c>
    </row>
    <row r="221" spans="1:5" ht="18" x14ac:dyDescent="0.2">
      <c r="A221" s="17">
        <v>16</v>
      </c>
      <c r="B221" s="122">
        <v>12329</v>
      </c>
      <c r="C221" s="123" t="s">
        <v>249</v>
      </c>
      <c r="D221" s="124" t="s">
        <v>8</v>
      </c>
      <c r="E221" s="118" t="s">
        <v>311</v>
      </c>
    </row>
    <row r="222" spans="1:5" ht="18" x14ac:dyDescent="0.2">
      <c r="A222" s="17">
        <v>17</v>
      </c>
      <c r="B222" s="122">
        <v>12366</v>
      </c>
      <c r="C222" s="128" t="s">
        <v>250</v>
      </c>
      <c r="D222" s="126" t="s">
        <v>7</v>
      </c>
      <c r="E222" s="118" t="s">
        <v>311</v>
      </c>
    </row>
    <row r="223" spans="1:5" ht="18" x14ac:dyDescent="0.2">
      <c r="A223" s="17">
        <v>18</v>
      </c>
      <c r="B223" s="122">
        <v>12367</v>
      </c>
      <c r="C223" s="123" t="s">
        <v>251</v>
      </c>
      <c r="D223" s="124" t="s">
        <v>7</v>
      </c>
      <c r="E223" s="118" t="s">
        <v>311</v>
      </c>
    </row>
    <row r="224" spans="1:5" ht="33" x14ac:dyDescent="0.2">
      <c r="A224" s="17">
        <v>19</v>
      </c>
      <c r="B224" s="122">
        <v>12370</v>
      </c>
      <c r="C224" s="123" t="s">
        <v>252</v>
      </c>
      <c r="D224" s="124" t="s">
        <v>7</v>
      </c>
      <c r="E224" s="118" t="s">
        <v>311</v>
      </c>
    </row>
    <row r="225" spans="1:5" ht="18" x14ac:dyDescent="0.2">
      <c r="A225" s="17">
        <v>20</v>
      </c>
      <c r="B225" s="122">
        <v>12376</v>
      </c>
      <c r="C225" s="123" t="s">
        <v>253</v>
      </c>
      <c r="D225" s="124" t="s">
        <v>7</v>
      </c>
      <c r="E225" s="118" t="s">
        <v>311</v>
      </c>
    </row>
    <row r="226" spans="1:5" ht="18" x14ac:dyDescent="0.2">
      <c r="A226" s="17">
        <v>21</v>
      </c>
      <c r="B226" s="122">
        <v>12377</v>
      </c>
      <c r="C226" s="125" t="s">
        <v>254</v>
      </c>
      <c r="D226" s="126" t="s">
        <v>7</v>
      </c>
      <c r="E226" s="118" t="s">
        <v>311</v>
      </c>
    </row>
    <row r="227" spans="1:5" ht="18" x14ac:dyDescent="0.2">
      <c r="A227" s="17">
        <v>22</v>
      </c>
      <c r="B227" s="122">
        <v>12388</v>
      </c>
      <c r="C227" s="123" t="s">
        <v>255</v>
      </c>
      <c r="D227" s="124" t="s">
        <v>8</v>
      </c>
      <c r="E227" s="118" t="s">
        <v>311</v>
      </c>
    </row>
    <row r="228" spans="1:5" ht="18" x14ac:dyDescent="0.2">
      <c r="A228" s="17">
        <v>23</v>
      </c>
      <c r="B228" s="122">
        <v>12389</v>
      </c>
      <c r="C228" s="123" t="s">
        <v>256</v>
      </c>
      <c r="D228" s="124" t="s">
        <v>8</v>
      </c>
      <c r="E228" s="118" t="s">
        <v>311</v>
      </c>
    </row>
    <row r="229" spans="1:5" ht="18" x14ac:dyDescent="0.2">
      <c r="A229" s="17">
        <v>24</v>
      </c>
      <c r="B229" s="122">
        <v>12391</v>
      </c>
      <c r="C229" s="123" t="s">
        <v>257</v>
      </c>
      <c r="D229" s="124" t="s">
        <v>7</v>
      </c>
      <c r="E229" s="118" t="s">
        <v>311</v>
      </c>
    </row>
    <row r="230" spans="1:5" ht="18" x14ac:dyDescent="0.2">
      <c r="A230" s="17">
        <v>25</v>
      </c>
      <c r="B230" s="122">
        <v>12404</v>
      </c>
      <c r="C230" s="123" t="s">
        <v>258</v>
      </c>
      <c r="D230" s="124" t="s">
        <v>8</v>
      </c>
      <c r="E230" s="118" t="s">
        <v>311</v>
      </c>
    </row>
    <row r="231" spans="1:5" ht="18" x14ac:dyDescent="0.2">
      <c r="A231" s="17">
        <v>26</v>
      </c>
      <c r="B231" s="122">
        <v>12413</v>
      </c>
      <c r="C231" s="123" t="s">
        <v>259</v>
      </c>
      <c r="D231" s="124" t="s">
        <v>7</v>
      </c>
      <c r="E231" s="118" t="s">
        <v>311</v>
      </c>
    </row>
    <row r="232" spans="1:5" ht="18" x14ac:dyDescent="0.2">
      <c r="A232" s="17">
        <v>27</v>
      </c>
      <c r="B232" s="122">
        <v>12421</v>
      </c>
      <c r="C232" s="123" t="s">
        <v>260</v>
      </c>
      <c r="D232" s="124" t="s">
        <v>7</v>
      </c>
      <c r="E232" s="118" t="s">
        <v>311</v>
      </c>
    </row>
    <row r="233" spans="1:5" ht="18" x14ac:dyDescent="0.2">
      <c r="A233" s="17">
        <v>28</v>
      </c>
      <c r="B233" s="122">
        <v>12425</v>
      </c>
      <c r="C233" s="125" t="s">
        <v>261</v>
      </c>
      <c r="D233" s="124" t="s">
        <v>7</v>
      </c>
      <c r="E233" s="118" t="s">
        <v>311</v>
      </c>
    </row>
    <row r="234" spans="1:5" ht="18" x14ac:dyDescent="0.2">
      <c r="A234" s="17">
        <v>29</v>
      </c>
      <c r="B234" s="122">
        <v>12443</v>
      </c>
      <c r="C234" s="125" t="s">
        <v>262</v>
      </c>
      <c r="D234" s="124" t="s">
        <v>8</v>
      </c>
      <c r="E234" s="118" t="s">
        <v>311</v>
      </c>
    </row>
    <row r="235" spans="1:5" ht="18" x14ac:dyDescent="0.2">
      <c r="A235" s="17">
        <v>30</v>
      </c>
      <c r="B235" s="122">
        <v>12446</v>
      </c>
      <c r="C235" s="125" t="s">
        <v>263</v>
      </c>
      <c r="D235" s="124" t="s">
        <v>8</v>
      </c>
      <c r="E235" s="118" t="s">
        <v>311</v>
      </c>
    </row>
    <row r="236" spans="1:5" ht="18" x14ac:dyDescent="0.2">
      <c r="A236" s="17">
        <v>31</v>
      </c>
      <c r="B236" s="122">
        <v>12452</v>
      </c>
      <c r="C236" s="125" t="s">
        <v>264</v>
      </c>
      <c r="D236" s="124" t="s">
        <v>8</v>
      </c>
      <c r="E236" s="118" t="s">
        <v>311</v>
      </c>
    </row>
    <row r="237" spans="1:5" ht="18" x14ac:dyDescent="0.2">
      <c r="A237" s="17">
        <v>32</v>
      </c>
      <c r="B237" s="122">
        <v>12464</v>
      </c>
      <c r="C237" s="125" t="s">
        <v>265</v>
      </c>
      <c r="D237" s="124" t="s">
        <v>7</v>
      </c>
      <c r="E237" s="118" t="s">
        <v>311</v>
      </c>
    </row>
    <row r="238" spans="1:5" ht="18" x14ac:dyDescent="0.2">
      <c r="A238" s="17">
        <v>1</v>
      </c>
      <c r="B238" s="106">
        <v>12211</v>
      </c>
      <c r="C238" s="31" t="s">
        <v>266</v>
      </c>
      <c r="D238" s="32" t="s">
        <v>7</v>
      </c>
      <c r="E238" s="118" t="s">
        <v>312</v>
      </c>
    </row>
    <row r="239" spans="1:5" ht="18" x14ac:dyDescent="0.2">
      <c r="A239" s="17">
        <v>2</v>
      </c>
      <c r="B239" s="106">
        <v>12216</v>
      </c>
      <c r="C239" s="31" t="s">
        <v>267</v>
      </c>
      <c r="D239" s="32" t="s">
        <v>7</v>
      </c>
      <c r="E239" s="118" t="s">
        <v>312</v>
      </c>
    </row>
    <row r="240" spans="1:5" ht="18" x14ac:dyDescent="0.2">
      <c r="A240" s="17">
        <v>3</v>
      </c>
      <c r="B240" s="106">
        <v>12220</v>
      </c>
      <c r="C240" s="31" t="s">
        <v>268</v>
      </c>
      <c r="D240" s="32" t="s">
        <v>8</v>
      </c>
      <c r="E240" s="118" t="s">
        <v>312</v>
      </c>
    </row>
    <row r="241" spans="1:5" ht="18" x14ac:dyDescent="0.2">
      <c r="A241" s="17">
        <v>4</v>
      </c>
      <c r="B241" s="106">
        <v>12225</v>
      </c>
      <c r="C241" s="35" t="s">
        <v>269</v>
      </c>
      <c r="D241" s="34" t="s">
        <v>7</v>
      </c>
      <c r="E241" s="118" t="s">
        <v>312</v>
      </c>
    </row>
    <row r="242" spans="1:5" ht="18" x14ac:dyDescent="0.2">
      <c r="A242" s="17">
        <v>5</v>
      </c>
      <c r="B242" s="106">
        <v>12227</v>
      </c>
      <c r="C242" s="31" t="s">
        <v>270</v>
      </c>
      <c r="D242" s="32" t="s">
        <v>7</v>
      </c>
      <c r="E242" s="118" t="s">
        <v>312</v>
      </c>
    </row>
    <row r="243" spans="1:5" ht="18" x14ac:dyDescent="0.2">
      <c r="A243" s="17">
        <v>6</v>
      </c>
      <c r="B243" s="106">
        <v>12233</v>
      </c>
      <c r="C243" s="31" t="s">
        <v>271</v>
      </c>
      <c r="D243" s="32" t="s">
        <v>7</v>
      </c>
      <c r="E243" s="118" t="s">
        <v>312</v>
      </c>
    </row>
    <row r="244" spans="1:5" ht="18" x14ac:dyDescent="0.2">
      <c r="A244" s="17">
        <v>7</v>
      </c>
      <c r="B244" s="106">
        <v>12238</v>
      </c>
      <c r="C244" s="31" t="s">
        <v>272</v>
      </c>
      <c r="D244" s="32" t="s">
        <v>7</v>
      </c>
      <c r="E244" s="118" t="s">
        <v>312</v>
      </c>
    </row>
    <row r="245" spans="1:5" ht="18" x14ac:dyDescent="0.2">
      <c r="A245" s="17">
        <v>8</v>
      </c>
      <c r="B245" s="106">
        <v>12243</v>
      </c>
      <c r="C245" s="31" t="s">
        <v>273</v>
      </c>
      <c r="D245" s="32" t="s">
        <v>7</v>
      </c>
      <c r="E245" s="118" t="s">
        <v>312</v>
      </c>
    </row>
    <row r="246" spans="1:5" ht="18" x14ac:dyDescent="0.2">
      <c r="A246" s="17">
        <v>9</v>
      </c>
      <c r="B246" s="106">
        <v>12247</v>
      </c>
      <c r="C246" s="31" t="s">
        <v>274</v>
      </c>
      <c r="D246" s="32" t="s">
        <v>8</v>
      </c>
      <c r="E246" s="118" t="s">
        <v>312</v>
      </c>
    </row>
    <row r="247" spans="1:5" ht="18" x14ac:dyDescent="0.2">
      <c r="A247" s="17">
        <v>10</v>
      </c>
      <c r="B247" s="106">
        <v>12250</v>
      </c>
      <c r="C247" s="31" t="s">
        <v>275</v>
      </c>
      <c r="D247" s="32" t="s">
        <v>7</v>
      </c>
      <c r="E247" s="118" t="s">
        <v>312</v>
      </c>
    </row>
    <row r="248" spans="1:5" ht="18" x14ac:dyDescent="0.2">
      <c r="A248" s="17">
        <v>11</v>
      </c>
      <c r="B248" s="106">
        <v>12262</v>
      </c>
      <c r="C248" s="31" t="s">
        <v>276</v>
      </c>
      <c r="D248" s="32" t="s">
        <v>7</v>
      </c>
      <c r="E248" s="118" t="s">
        <v>312</v>
      </c>
    </row>
    <row r="249" spans="1:5" ht="18" x14ac:dyDescent="0.2">
      <c r="A249" s="17">
        <v>12</v>
      </c>
      <c r="B249" s="106">
        <v>12273</v>
      </c>
      <c r="C249" s="33" t="s">
        <v>277</v>
      </c>
      <c r="D249" s="34" t="s">
        <v>8</v>
      </c>
      <c r="E249" s="118" t="s">
        <v>312</v>
      </c>
    </row>
    <row r="250" spans="1:5" ht="18" x14ac:dyDescent="0.2">
      <c r="A250" s="17">
        <v>13</v>
      </c>
      <c r="B250" s="106">
        <v>12277</v>
      </c>
      <c r="C250" s="69" t="s">
        <v>278</v>
      </c>
      <c r="D250" s="34" t="s">
        <v>7</v>
      </c>
      <c r="E250" s="118" t="s">
        <v>312</v>
      </c>
    </row>
    <row r="251" spans="1:5" ht="18" x14ac:dyDescent="0.2">
      <c r="A251" s="17">
        <v>14</v>
      </c>
      <c r="B251" s="106">
        <v>12289</v>
      </c>
      <c r="C251" s="31" t="s">
        <v>279</v>
      </c>
      <c r="D251" s="32" t="s">
        <v>7</v>
      </c>
      <c r="E251" s="118" t="s">
        <v>312</v>
      </c>
    </row>
    <row r="252" spans="1:5" ht="18" x14ac:dyDescent="0.2">
      <c r="A252" s="17">
        <v>15</v>
      </c>
      <c r="B252" s="106">
        <v>12293</v>
      </c>
      <c r="C252" s="31" t="s">
        <v>280</v>
      </c>
      <c r="D252" s="32" t="s">
        <v>7</v>
      </c>
      <c r="E252" s="118" t="s">
        <v>312</v>
      </c>
    </row>
    <row r="253" spans="1:5" ht="18" x14ac:dyDescent="0.2">
      <c r="A253" s="17">
        <v>16</v>
      </c>
      <c r="B253" s="106">
        <v>12306</v>
      </c>
      <c r="C253" s="31" t="s">
        <v>281</v>
      </c>
      <c r="D253" s="32" t="s">
        <v>7</v>
      </c>
      <c r="E253" s="118" t="s">
        <v>312</v>
      </c>
    </row>
    <row r="254" spans="1:5" ht="18" x14ac:dyDescent="0.2">
      <c r="A254" s="17">
        <v>17</v>
      </c>
      <c r="B254" s="106">
        <v>12340</v>
      </c>
      <c r="C254" s="31" t="s">
        <v>282</v>
      </c>
      <c r="D254" s="32" t="s">
        <v>7</v>
      </c>
      <c r="E254" s="118" t="s">
        <v>312</v>
      </c>
    </row>
    <row r="255" spans="1:5" ht="18" x14ac:dyDescent="0.2">
      <c r="A255" s="17">
        <v>18</v>
      </c>
      <c r="B255" s="106">
        <v>12348</v>
      </c>
      <c r="C255" s="31" t="s">
        <v>283</v>
      </c>
      <c r="D255" s="32" t="s">
        <v>8</v>
      </c>
      <c r="E255" s="118" t="s">
        <v>312</v>
      </c>
    </row>
    <row r="256" spans="1:5" ht="18" x14ac:dyDescent="0.2">
      <c r="A256" s="17">
        <v>19</v>
      </c>
      <c r="B256" s="106">
        <v>12359</v>
      </c>
      <c r="C256" s="31" t="s">
        <v>284</v>
      </c>
      <c r="D256" s="32" t="s">
        <v>7</v>
      </c>
      <c r="E256" s="118" t="s">
        <v>312</v>
      </c>
    </row>
    <row r="257" spans="1:5" ht="33" x14ac:dyDescent="0.2">
      <c r="A257" s="17">
        <v>20</v>
      </c>
      <c r="B257" s="106">
        <v>12379</v>
      </c>
      <c r="C257" s="31" t="s">
        <v>285</v>
      </c>
      <c r="D257" s="32" t="s">
        <v>7</v>
      </c>
      <c r="E257" s="118" t="s">
        <v>312</v>
      </c>
    </row>
    <row r="258" spans="1:5" ht="18" x14ac:dyDescent="0.2">
      <c r="A258" s="17">
        <v>21</v>
      </c>
      <c r="B258" s="106">
        <v>12380</v>
      </c>
      <c r="C258" s="31" t="s">
        <v>286</v>
      </c>
      <c r="D258" s="32" t="s">
        <v>7</v>
      </c>
      <c r="E258" s="118" t="s">
        <v>312</v>
      </c>
    </row>
    <row r="259" spans="1:5" ht="18" x14ac:dyDescent="0.2">
      <c r="A259" s="17">
        <v>22</v>
      </c>
      <c r="B259" s="106">
        <v>12382</v>
      </c>
      <c r="C259" s="31" t="s">
        <v>287</v>
      </c>
      <c r="D259" s="32" t="s">
        <v>8</v>
      </c>
      <c r="E259" s="118" t="s">
        <v>312</v>
      </c>
    </row>
    <row r="260" spans="1:5" ht="18" x14ac:dyDescent="0.2">
      <c r="A260" s="17">
        <v>23</v>
      </c>
      <c r="B260" s="106">
        <v>12387</v>
      </c>
      <c r="C260" s="31" t="s">
        <v>288</v>
      </c>
      <c r="D260" s="32" t="s">
        <v>8</v>
      </c>
      <c r="E260" s="118" t="s">
        <v>312</v>
      </c>
    </row>
    <row r="261" spans="1:5" ht="18" x14ac:dyDescent="0.2">
      <c r="A261" s="17">
        <v>24</v>
      </c>
      <c r="B261" s="106">
        <v>12396</v>
      </c>
      <c r="C261" s="33" t="s">
        <v>289</v>
      </c>
      <c r="D261" s="34" t="s">
        <v>7</v>
      </c>
      <c r="E261" s="118" t="s">
        <v>312</v>
      </c>
    </row>
    <row r="262" spans="1:5" ht="18" x14ac:dyDescent="0.2">
      <c r="A262" s="17">
        <v>25</v>
      </c>
      <c r="B262" s="106">
        <v>12405</v>
      </c>
      <c r="C262" s="33" t="s">
        <v>290</v>
      </c>
      <c r="D262" s="34" t="s">
        <v>8</v>
      </c>
      <c r="E262" s="118" t="s">
        <v>312</v>
      </c>
    </row>
    <row r="263" spans="1:5" ht="18" x14ac:dyDescent="0.2">
      <c r="A263" s="17">
        <v>26</v>
      </c>
      <c r="B263" s="106">
        <v>12407</v>
      </c>
      <c r="C263" s="33" t="s">
        <v>291</v>
      </c>
      <c r="D263" s="34" t="s">
        <v>8</v>
      </c>
      <c r="E263" s="118" t="s">
        <v>312</v>
      </c>
    </row>
    <row r="264" spans="1:5" ht="18" x14ac:dyDescent="0.2">
      <c r="A264" s="17">
        <v>27</v>
      </c>
      <c r="B264" s="106">
        <v>12415</v>
      </c>
      <c r="C264" s="33" t="s">
        <v>292</v>
      </c>
      <c r="D264" s="34" t="s">
        <v>7</v>
      </c>
      <c r="E264" s="118" t="s">
        <v>312</v>
      </c>
    </row>
    <row r="265" spans="1:5" ht="18" x14ac:dyDescent="0.2">
      <c r="A265" s="17">
        <v>28</v>
      </c>
      <c r="B265" s="106">
        <v>12420</v>
      </c>
      <c r="C265" s="33" t="s">
        <v>293</v>
      </c>
      <c r="D265" s="34" t="s">
        <v>7</v>
      </c>
      <c r="E265" s="118" t="s">
        <v>312</v>
      </c>
    </row>
    <row r="266" spans="1:5" ht="18" x14ac:dyDescent="0.2">
      <c r="A266" s="17">
        <v>29</v>
      </c>
      <c r="B266" s="106">
        <v>12423</v>
      </c>
      <c r="C266" s="33" t="s">
        <v>294</v>
      </c>
      <c r="D266" s="34" t="s">
        <v>7</v>
      </c>
      <c r="E266" s="118" t="s">
        <v>312</v>
      </c>
    </row>
    <row r="267" spans="1:5" ht="18" x14ac:dyDescent="0.2">
      <c r="A267" s="17">
        <v>30</v>
      </c>
      <c r="B267" s="106">
        <v>12456</v>
      </c>
      <c r="C267" s="31" t="s">
        <v>295</v>
      </c>
      <c r="D267" s="32" t="s">
        <v>8</v>
      </c>
      <c r="E267" s="118" t="s">
        <v>312</v>
      </c>
    </row>
    <row r="268" spans="1:5" ht="18" x14ac:dyDescent="0.2">
      <c r="A268" s="17">
        <v>31</v>
      </c>
      <c r="B268" s="106">
        <v>12467</v>
      </c>
      <c r="C268" s="31" t="s">
        <v>296</v>
      </c>
      <c r="D268" s="32" t="s">
        <v>7</v>
      </c>
      <c r="E268" s="118" t="s">
        <v>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130" zoomScaleNormal="130" workbookViewId="0">
      <selection activeCell="H30" sqref="H30"/>
    </sheetView>
  </sheetViews>
  <sheetFormatPr defaultRowHeight="12.75" x14ac:dyDescent="0.2"/>
  <sheetData>
    <row r="1" spans="1:4" x14ac:dyDescent="0.2">
      <c r="B1" t="s">
        <v>7</v>
      </c>
      <c r="C1" t="s">
        <v>8</v>
      </c>
    </row>
    <row r="2" spans="1:4" x14ac:dyDescent="0.2">
      <c r="A2" t="s">
        <v>302</v>
      </c>
      <c r="B2">
        <f>'X-1'!D57</f>
        <v>22</v>
      </c>
      <c r="C2">
        <f>'X-1'!D58</f>
        <v>11</v>
      </c>
      <c r="D2" s="130">
        <f>'X-1'!A56</f>
        <v>33</v>
      </c>
    </row>
    <row r="3" spans="1:4" x14ac:dyDescent="0.2">
      <c r="A3" t="s">
        <v>303</v>
      </c>
      <c r="B3">
        <f>'X-2'!D58</f>
        <v>22</v>
      </c>
      <c r="C3">
        <f>'X-2'!D59</f>
        <v>12</v>
      </c>
      <c r="D3" s="130">
        <f>'X-2'!A57</f>
        <v>34</v>
      </c>
    </row>
    <row r="4" spans="1:4" x14ac:dyDescent="0.2">
      <c r="A4" t="s">
        <v>304</v>
      </c>
      <c r="B4">
        <f>'X-3'!D58</f>
        <v>22</v>
      </c>
      <c r="C4">
        <f>'X-3'!D59</f>
        <v>12</v>
      </c>
      <c r="D4" s="130">
        <f>'X-3'!A57</f>
        <v>34</v>
      </c>
    </row>
    <row r="5" spans="1:4" x14ac:dyDescent="0.2">
      <c r="A5" t="s">
        <v>306</v>
      </c>
      <c r="B5">
        <f>'X-4'!D58</f>
        <v>22</v>
      </c>
      <c r="C5">
        <f>'X-4'!D59</f>
        <v>12</v>
      </c>
      <c r="D5" s="130">
        <f>'X-4'!A57</f>
        <v>34</v>
      </c>
    </row>
    <row r="6" spans="1:4" x14ac:dyDescent="0.2">
      <c r="A6" t="s">
        <v>309</v>
      </c>
      <c r="B6">
        <f>'X-5'!D57</f>
        <v>21</v>
      </c>
      <c r="C6">
        <f>'X-5'!D58</f>
        <v>12</v>
      </c>
      <c r="D6" s="130">
        <f>'X-5'!A56</f>
        <v>33</v>
      </c>
    </row>
    <row r="7" spans="1:4" x14ac:dyDescent="0.2">
      <c r="A7" t="s">
        <v>310</v>
      </c>
      <c r="B7">
        <f>'X-6'!D58</f>
        <v>22</v>
      </c>
      <c r="C7">
        <f>'X-6'!D59</f>
        <v>12</v>
      </c>
      <c r="D7" s="130">
        <f>'X-6'!A57</f>
        <v>34</v>
      </c>
    </row>
    <row r="8" spans="1:4" x14ac:dyDescent="0.2">
      <c r="A8" t="s">
        <v>311</v>
      </c>
      <c r="B8">
        <f>'X-7'!D55</f>
        <v>21</v>
      </c>
      <c r="C8">
        <f>'X-7'!D56</f>
        <v>10</v>
      </c>
      <c r="D8" s="130">
        <f>'X-7'!A54</f>
        <v>31</v>
      </c>
    </row>
    <row r="9" spans="1:4" x14ac:dyDescent="0.2">
      <c r="A9" t="s">
        <v>312</v>
      </c>
      <c r="B9">
        <f>'X-8'!E55</f>
        <v>22</v>
      </c>
      <c r="C9">
        <f>'X-8'!E56</f>
        <v>9</v>
      </c>
      <c r="D9" s="130">
        <f>'X-8'!A54</f>
        <v>31</v>
      </c>
    </row>
    <row r="11" spans="1:4" x14ac:dyDescent="0.2">
      <c r="D11" s="130">
        <f>SUM(D2:D10)</f>
        <v>264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"/>
  <sheetViews>
    <sheetView topLeftCell="A16" workbookViewId="0">
      <selection activeCell="B3" sqref="B3"/>
    </sheetView>
  </sheetViews>
  <sheetFormatPr defaultRowHeight="12.75" x14ac:dyDescent="0.2"/>
  <cols>
    <col min="2" max="2" width="42.85546875" customWidth="1"/>
  </cols>
  <sheetData>
    <row r="1" spans="1:5" x14ac:dyDescent="0.2">
      <c r="A1" s="198" t="s">
        <v>297</v>
      </c>
      <c r="B1" s="198" t="s">
        <v>298</v>
      </c>
      <c r="C1" s="198" t="s">
        <v>5</v>
      </c>
      <c r="D1" s="198" t="s">
        <v>299</v>
      </c>
      <c r="E1" s="200" t="s">
        <v>300</v>
      </c>
    </row>
    <row r="2" spans="1:5" x14ac:dyDescent="0.2">
      <c r="A2" s="199"/>
      <c r="B2" s="199"/>
      <c r="C2" s="199"/>
      <c r="D2" s="199"/>
      <c r="E2" s="200"/>
    </row>
    <row r="3" spans="1:5" x14ac:dyDescent="0.2">
      <c r="A3" s="115">
        <f>A2+1</f>
        <v>1</v>
      </c>
      <c r="B3" s="116" t="s">
        <v>30</v>
      </c>
      <c r="C3" s="117" t="s">
        <v>7</v>
      </c>
      <c r="D3" s="117" t="s">
        <v>301</v>
      </c>
      <c r="E3" s="118" t="s">
        <v>302</v>
      </c>
    </row>
    <row r="4" spans="1:5" x14ac:dyDescent="0.2">
      <c r="A4" s="115">
        <v>1</v>
      </c>
      <c r="B4" s="119" t="s">
        <v>132</v>
      </c>
      <c r="C4" s="118" t="s">
        <v>7</v>
      </c>
      <c r="D4" s="118" t="s">
        <v>301</v>
      </c>
      <c r="E4" s="118" t="s">
        <v>306</v>
      </c>
    </row>
    <row r="5" spans="1:5" x14ac:dyDescent="0.2">
      <c r="A5" s="115">
        <v>1</v>
      </c>
      <c r="B5" s="119" t="s">
        <v>166</v>
      </c>
      <c r="C5" s="118" t="s">
        <v>7</v>
      </c>
      <c r="D5" s="118" t="s">
        <v>301</v>
      </c>
      <c r="E5" s="118" t="s">
        <v>309</v>
      </c>
    </row>
    <row r="6" spans="1:5" x14ac:dyDescent="0.2">
      <c r="A6" s="115">
        <v>1</v>
      </c>
      <c r="B6" s="116" t="s">
        <v>64</v>
      </c>
      <c r="C6" s="117" t="s">
        <v>7</v>
      </c>
      <c r="D6" s="117" t="s">
        <v>301</v>
      </c>
      <c r="E6" s="118" t="s">
        <v>303</v>
      </c>
    </row>
    <row r="7" spans="1:5" x14ac:dyDescent="0.2">
      <c r="A7" s="115">
        <f>A6+1</f>
        <v>2</v>
      </c>
      <c r="B7" s="119" t="s">
        <v>167</v>
      </c>
      <c r="C7" s="118" t="s">
        <v>8</v>
      </c>
      <c r="D7" s="118" t="s">
        <v>301</v>
      </c>
      <c r="E7" s="118" t="s">
        <v>309</v>
      </c>
    </row>
    <row r="8" spans="1:5" x14ac:dyDescent="0.2">
      <c r="A8" s="115">
        <v>1</v>
      </c>
      <c r="B8" s="116" t="s">
        <v>266</v>
      </c>
      <c r="C8" s="117" t="s">
        <v>7</v>
      </c>
      <c r="D8" s="117" t="s">
        <v>301</v>
      </c>
      <c r="E8" s="118" t="s">
        <v>312</v>
      </c>
    </row>
    <row r="9" spans="1:5" x14ac:dyDescent="0.2">
      <c r="A9" s="115">
        <v>1</v>
      </c>
      <c r="B9" s="116" t="s">
        <v>234</v>
      </c>
      <c r="C9" s="117" t="s">
        <v>7</v>
      </c>
      <c r="D9" s="117" t="s">
        <v>301</v>
      </c>
      <c r="E9" s="118" t="s">
        <v>311</v>
      </c>
    </row>
    <row r="10" spans="1:5" x14ac:dyDescent="0.2">
      <c r="A10" s="115">
        <f t="shared" ref="A10:A22" si="0">A9+1</f>
        <v>2</v>
      </c>
      <c r="B10" s="116" t="s">
        <v>235</v>
      </c>
      <c r="C10" s="117" t="s">
        <v>8</v>
      </c>
      <c r="D10" s="117" t="s">
        <v>301</v>
      </c>
      <c r="E10" s="118" t="s">
        <v>311</v>
      </c>
    </row>
    <row r="11" spans="1:5" x14ac:dyDescent="0.2">
      <c r="A11" s="115">
        <f t="shared" si="0"/>
        <v>3</v>
      </c>
      <c r="B11" s="119" t="s">
        <v>133</v>
      </c>
      <c r="C11" s="118" t="s">
        <v>8</v>
      </c>
      <c r="D11" s="118" t="s">
        <v>301</v>
      </c>
      <c r="E11" s="118" t="s">
        <v>306</v>
      </c>
    </row>
    <row r="12" spans="1:5" x14ac:dyDescent="0.2">
      <c r="A12" s="115">
        <f t="shared" si="0"/>
        <v>4</v>
      </c>
      <c r="B12" s="116" t="s">
        <v>236</v>
      </c>
      <c r="C12" s="117" t="s">
        <v>7</v>
      </c>
      <c r="D12" s="117" t="s">
        <v>301</v>
      </c>
      <c r="E12" s="118" t="s">
        <v>311</v>
      </c>
    </row>
    <row r="13" spans="1:5" x14ac:dyDescent="0.2">
      <c r="A13" s="115">
        <f t="shared" si="0"/>
        <v>5</v>
      </c>
      <c r="B13" s="116" t="s">
        <v>267</v>
      </c>
      <c r="C13" s="117" t="s">
        <v>7</v>
      </c>
      <c r="D13" s="117" t="s">
        <v>301</v>
      </c>
      <c r="E13" s="118" t="s">
        <v>312</v>
      </c>
    </row>
    <row r="14" spans="1:5" x14ac:dyDescent="0.2">
      <c r="A14" s="115">
        <f t="shared" si="0"/>
        <v>6</v>
      </c>
      <c r="B14" s="116" t="s">
        <v>31</v>
      </c>
      <c r="C14" s="117" t="s">
        <v>7</v>
      </c>
      <c r="D14" s="117" t="s">
        <v>301</v>
      </c>
      <c r="E14" s="118" t="s">
        <v>302</v>
      </c>
    </row>
    <row r="15" spans="1:5" x14ac:dyDescent="0.2">
      <c r="A15" s="115">
        <f t="shared" si="0"/>
        <v>7</v>
      </c>
      <c r="B15" s="116" t="s">
        <v>237</v>
      </c>
      <c r="C15" s="117" t="s">
        <v>7</v>
      </c>
      <c r="D15" s="117" t="s">
        <v>301</v>
      </c>
      <c r="E15" s="118" t="s">
        <v>311</v>
      </c>
    </row>
    <row r="16" spans="1:5" x14ac:dyDescent="0.2">
      <c r="A16" s="115">
        <f t="shared" si="0"/>
        <v>8</v>
      </c>
      <c r="B16" s="119" t="s">
        <v>168</v>
      </c>
      <c r="C16" s="118" t="s">
        <v>8</v>
      </c>
      <c r="D16" s="118" t="s">
        <v>301</v>
      </c>
      <c r="E16" s="118" t="s">
        <v>309</v>
      </c>
    </row>
    <row r="17" spans="1:5" x14ac:dyDescent="0.2">
      <c r="A17" s="115">
        <f t="shared" si="0"/>
        <v>9</v>
      </c>
      <c r="B17" s="116" t="s">
        <v>268</v>
      </c>
      <c r="C17" s="117" t="s">
        <v>8</v>
      </c>
      <c r="D17" s="117" t="s">
        <v>301</v>
      </c>
      <c r="E17" s="118" t="s">
        <v>312</v>
      </c>
    </row>
    <row r="18" spans="1:5" x14ac:dyDescent="0.2">
      <c r="A18" s="115">
        <f t="shared" si="0"/>
        <v>10</v>
      </c>
      <c r="B18" s="119" t="s">
        <v>134</v>
      </c>
      <c r="C18" s="118" t="s">
        <v>7</v>
      </c>
      <c r="D18" s="118" t="s">
        <v>301</v>
      </c>
      <c r="E18" s="118" t="s">
        <v>306</v>
      </c>
    </row>
    <row r="19" spans="1:5" x14ac:dyDescent="0.2">
      <c r="A19" s="115">
        <f t="shared" si="0"/>
        <v>11</v>
      </c>
      <c r="B19" s="116" t="s">
        <v>32</v>
      </c>
      <c r="C19" s="117" t="s">
        <v>7</v>
      </c>
      <c r="D19" s="117" t="s">
        <v>301</v>
      </c>
      <c r="E19" s="118" t="s">
        <v>302</v>
      </c>
    </row>
    <row r="20" spans="1:5" x14ac:dyDescent="0.2">
      <c r="A20" s="115">
        <f t="shared" si="0"/>
        <v>12</v>
      </c>
      <c r="B20" s="116" t="s">
        <v>65</v>
      </c>
      <c r="C20" s="117" t="s">
        <v>7</v>
      </c>
      <c r="D20" s="117" t="s">
        <v>301</v>
      </c>
      <c r="E20" s="118" t="s">
        <v>303</v>
      </c>
    </row>
    <row r="21" spans="1:5" x14ac:dyDescent="0.2">
      <c r="A21" s="115">
        <f t="shared" si="0"/>
        <v>13</v>
      </c>
      <c r="B21" s="119" t="s">
        <v>135</v>
      </c>
      <c r="C21" s="118" t="s">
        <v>8</v>
      </c>
      <c r="D21" s="118" t="s">
        <v>301</v>
      </c>
      <c r="E21" s="118" t="s">
        <v>306</v>
      </c>
    </row>
    <row r="22" spans="1:5" x14ac:dyDescent="0.2">
      <c r="A22" s="115">
        <f t="shared" si="0"/>
        <v>14</v>
      </c>
      <c r="B22" s="116" t="s">
        <v>269</v>
      </c>
      <c r="C22" s="117" t="s">
        <v>7</v>
      </c>
      <c r="D22" s="117" t="s">
        <v>301</v>
      </c>
      <c r="E22" s="118" t="s">
        <v>312</v>
      </c>
    </row>
    <row r="23" spans="1:5" x14ac:dyDescent="0.2">
      <c r="A23" s="115">
        <v>1</v>
      </c>
      <c r="B23" s="119" t="s">
        <v>169</v>
      </c>
      <c r="C23" s="118" t="s">
        <v>7</v>
      </c>
      <c r="D23" s="118" t="s">
        <v>301</v>
      </c>
      <c r="E23" s="118" t="s">
        <v>304</v>
      </c>
    </row>
    <row r="24" spans="1:5" x14ac:dyDescent="0.2">
      <c r="A24" s="115">
        <f>A23+1</f>
        <v>2</v>
      </c>
      <c r="B24" s="116" t="s">
        <v>270</v>
      </c>
      <c r="C24" s="117" t="s">
        <v>7</v>
      </c>
      <c r="D24" s="117" t="s">
        <v>301</v>
      </c>
      <c r="E24" s="118" t="s">
        <v>312</v>
      </c>
    </row>
    <row r="25" spans="1:5" x14ac:dyDescent="0.2">
      <c r="A25" s="115">
        <f>A24+1</f>
        <v>3</v>
      </c>
      <c r="B25" s="116" t="s">
        <v>238</v>
      </c>
      <c r="C25" s="117" t="s">
        <v>7</v>
      </c>
      <c r="D25" s="117" t="s">
        <v>301</v>
      </c>
      <c r="E25" s="118" t="s">
        <v>311</v>
      </c>
    </row>
    <row r="26" spans="1:5" x14ac:dyDescent="0.2">
      <c r="A26" s="115">
        <f>A25+1</f>
        <v>4</v>
      </c>
      <c r="B26" s="119" t="s">
        <v>136</v>
      </c>
      <c r="C26" s="118" t="s">
        <v>7</v>
      </c>
      <c r="D26" s="118" t="s">
        <v>307</v>
      </c>
      <c r="E26" s="118" t="s">
        <v>306</v>
      </c>
    </row>
    <row r="27" spans="1:5" x14ac:dyDescent="0.2">
      <c r="A27" s="115">
        <v>1</v>
      </c>
      <c r="B27" s="119" t="s">
        <v>200</v>
      </c>
      <c r="C27" s="118" t="s">
        <v>8</v>
      </c>
      <c r="D27" s="118" t="s">
        <v>301</v>
      </c>
      <c r="E27" s="118" t="s">
        <v>310</v>
      </c>
    </row>
    <row r="28" spans="1:5" x14ac:dyDescent="0.2">
      <c r="A28" s="115">
        <f t="shared" ref="A28:A91" si="1">A27+1</f>
        <v>2</v>
      </c>
      <c r="B28" s="119" t="s">
        <v>98</v>
      </c>
      <c r="C28" s="118" t="s">
        <v>7</v>
      </c>
      <c r="D28" s="118" t="s">
        <v>305</v>
      </c>
      <c r="E28" s="118" t="s">
        <v>304</v>
      </c>
    </row>
    <row r="29" spans="1:5" x14ac:dyDescent="0.2">
      <c r="A29" s="115">
        <f t="shared" si="1"/>
        <v>3</v>
      </c>
      <c r="B29" s="119" t="s">
        <v>137</v>
      </c>
      <c r="C29" s="118" t="s">
        <v>8</v>
      </c>
      <c r="D29" s="118" t="s">
        <v>301</v>
      </c>
      <c r="E29" s="118" t="s">
        <v>306</v>
      </c>
    </row>
    <row r="30" spans="1:5" x14ac:dyDescent="0.2">
      <c r="A30" s="115">
        <f t="shared" si="1"/>
        <v>4</v>
      </c>
      <c r="B30" s="116" t="s">
        <v>271</v>
      </c>
      <c r="C30" s="117" t="s">
        <v>7</v>
      </c>
      <c r="D30" s="117" t="s">
        <v>301</v>
      </c>
      <c r="E30" s="118" t="s">
        <v>312</v>
      </c>
    </row>
    <row r="31" spans="1:5" x14ac:dyDescent="0.2">
      <c r="A31" s="115">
        <f t="shared" si="1"/>
        <v>5</v>
      </c>
      <c r="B31" s="119" t="s">
        <v>99</v>
      </c>
      <c r="C31" s="118" t="s">
        <v>8</v>
      </c>
      <c r="D31" s="118" t="s">
        <v>305</v>
      </c>
      <c r="E31" s="118" t="s">
        <v>304</v>
      </c>
    </row>
    <row r="32" spans="1:5" x14ac:dyDescent="0.2">
      <c r="A32" s="115">
        <f t="shared" si="1"/>
        <v>6</v>
      </c>
      <c r="B32" s="119" t="s">
        <v>100</v>
      </c>
      <c r="C32" s="118" t="s">
        <v>7</v>
      </c>
      <c r="D32" s="118" t="s">
        <v>305</v>
      </c>
      <c r="E32" s="118" t="s">
        <v>309</v>
      </c>
    </row>
    <row r="33" spans="1:5" x14ac:dyDescent="0.2">
      <c r="A33" s="115">
        <f t="shared" si="1"/>
        <v>7</v>
      </c>
      <c r="B33" s="119" t="s">
        <v>170</v>
      </c>
      <c r="C33" s="118" t="s">
        <v>7</v>
      </c>
      <c r="D33" s="118" t="s">
        <v>301</v>
      </c>
      <c r="E33" s="118" t="s">
        <v>309</v>
      </c>
    </row>
    <row r="34" spans="1:5" x14ac:dyDescent="0.2">
      <c r="A34" s="115">
        <f t="shared" si="1"/>
        <v>8</v>
      </c>
      <c r="B34" s="116" t="s">
        <v>66</v>
      </c>
      <c r="C34" s="117" t="s">
        <v>7</v>
      </c>
      <c r="D34" s="117" t="s">
        <v>301</v>
      </c>
      <c r="E34" s="118" t="s">
        <v>303</v>
      </c>
    </row>
    <row r="35" spans="1:5" x14ac:dyDescent="0.2">
      <c r="A35" s="115">
        <f t="shared" si="1"/>
        <v>9</v>
      </c>
      <c r="B35" s="116" t="s">
        <v>272</v>
      </c>
      <c r="C35" s="117" t="s">
        <v>7</v>
      </c>
      <c r="D35" s="117" t="s">
        <v>301</v>
      </c>
      <c r="E35" s="118" t="s">
        <v>312</v>
      </c>
    </row>
    <row r="36" spans="1:5" x14ac:dyDescent="0.2">
      <c r="A36" s="115">
        <f t="shared" si="1"/>
        <v>10</v>
      </c>
      <c r="B36" s="116" t="s">
        <v>67</v>
      </c>
      <c r="C36" s="117" t="s">
        <v>7</v>
      </c>
      <c r="D36" s="117" t="s">
        <v>301</v>
      </c>
      <c r="E36" s="118" t="s">
        <v>303</v>
      </c>
    </row>
    <row r="37" spans="1:5" x14ac:dyDescent="0.2">
      <c r="A37" s="115">
        <f t="shared" si="1"/>
        <v>11</v>
      </c>
      <c r="B37" s="119" t="s">
        <v>201</v>
      </c>
      <c r="C37" s="118" t="s">
        <v>7</v>
      </c>
      <c r="D37" s="118" t="s">
        <v>301</v>
      </c>
      <c r="E37" s="118" t="s">
        <v>310</v>
      </c>
    </row>
    <row r="38" spans="1:5" x14ac:dyDescent="0.2">
      <c r="A38" s="115">
        <f t="shared" si="1"/>
        <v>12</v>
      </c>
      <c r="B38" s="119" t="s">
        <v>202</v>
      </c>
      <c r="C38" s="118" t="s">
        <v>7</v>
      </c>
      <c r="D38" s="118" t="s">
        <v>301</v>
      </c>
      <c r="E38" s="118" t="s">
        <v>310</v>
      </c>
    </row>
    <row r="39" spans="1:5" x14ac:dyDescent="0.2">
      <c r="A39" s="115">
        <f t="shared" si="1"/>
        <v>13</v>
      </c>
      <c r="B39" s="116" t="s">
        <v>33</v>
      </c>
      <c r="C39" s="117" t="s">
        <v>7</v>
      </c>
      <c r="D39" s="117" t="s">
        <v>301</v>
      </c>
      <c r="E39" s="118" t="s">
        <v>302</v>
      </c>
    </row>
    <row r="40" spans="1:5" x14ac:dyDescent="0.2">
      <c r="A40" s="115">
        <f t="shared" si="1"/>
        <v>14</v>
      </c>
      <c r="B40" s="116" t="s">
        <v>273</v>
      </c>
      <c r="C40" s="117" t="s">
        <v>7</v>
      </c>
      <c r="D40" s="117" t="s">
        <v>301</v>
      </c>
      <c r="E40" s="118" t="s">
        <v>312</v>
      </c>
    </row>
    <row r="41" spans="1:5" x14ac:dyDescent="0.2">
      <c r="A41" s="115">
        <f t="shared" si="1"/>
        <v>15</v>
      </c>
      <c r="B41" s="116" t="s">
        <v>68</v>
      </c>
      <c r="C41" s="117" t="s">
        <v>7</v>
      </c>
      <c r="D41" s="117" t="s">
        <v>301</v>
      </c>
      <c r="E41" s="118" t="s">
        <v>303</v>
      </c>
    </row>
    <row r="42" spans="1:5" x14ac:dyDescent="0.2">
      <c r="A42" s="115">
        <f t="shared" si="1"/>
        <v>16</v>
      </c>
      <c r="B42" s="116" t="s">
        <v>34</v>
      </c>
      <c r="C42" s="117" t="s">
        <v>7</v>
      </c>
      <c r="D42" s="117" t="s">
        <v>301</v>
      </c>
      <c r="E42" s="118" t="s">
        <v>302</v>
      </c>
    </row>
    <row r="43" spans="1:5" x14ac:dyDescent="0.2">
      <c r="A43" s="115">
        <f t="shared" si="1"/>
        <v>17</v>
      </c>
      <c r="B43" s="119" t="s">
        <v>171</v>
      </c>
      <c r="C43" s="118" t="s">
        <v>7</v>
      </c>
      <c r="D43" s="118" t="s">
        <v>301</v>
      </c>
      <c r="E43" s="118" t="s">
        <v>309</v>
      </c>
    </row>
    <row r="44" spans="1:5" x14ac:dyDescent="0.2">
      <c r="A44" s="115">
        <f t="shared" si="1"/>
        <v>18</v>
      </c>
      <c r="B44" s="116" t="s">
        <v>274</v>
      </c>
      <c r="C44" s="117" t="s">
        <v>8</v>
      </c>
      <c r="D44" s="117" t="s">
        <v>301</v>
      </c>
      <c r="E44" s="118" t="s">
        <v>312</v>
      </c>
    </row>
    <row r="45" spans="1:5" x14ac:dyDescent="0.2">
      <c r="A45" s="115">
        <f t="shared" si="1"/>
        <v>19</v>
      </c>
      <c r="B45" s="119" t="s">
        <v>172</v>
      </c>
      <c r="C45" s="118" t="s">
        <v>8</v>
      </c>
      <c r="D45" s="118" t="s">
        <v>301</v>
      </c>
      <c r="E45" s="118" t="s">
        <v>309</v>
      </c>
    </row>
    <row r="46" spans="1:5" x14ac:dyDescent="0.2">
      <c r="A46" s="115">
        <f t="shared" si="1"/>
        <v>20</v>
      </c>
      <c r="B46" s="119" t="s">
        <v>203</v>
      </c>
      <c r="C46" s="118" t="s">
        <v>8</v>
      </c>
      <c r="D46" s="118" t="s">
        <v>301</v>
      </c>
      <c r="E46" s="118" t="s">
        <v>310</v>
      </c>
    </row>
    <row r="47" spans="1:5" x14ac:dyDescent="0.2">
      <c r="A47" s="115">
        <f t="shared" si="1"/>
        <v>21</v>
      </c>
      <c r="B47" s="116" t="s">
        <v>275</v>
      </c>
      <c r="C47" s="117" t="s">
        <v>7</v>
      </c>
      <c r="D47" s="117" t="s">
        <v>301</v>
      </c>
      <c r="E47" s="118" t="s">
        <v>312</v>
      </c>
    </row>
    <row r="48" spans="1:5" x14ac:dyDescent="0.2">
      <c r="A48" s="115">
        <f t="shared" si="1"/>
        <v>22</v>
      </c>
      <c r="B48" s="119" t="s">
        <v>173</v>
      </c>
      <c r="C48" s="118" t="s">
        <v>8</v>
      </c>
      <c r="D48" s="118" t="s">
        <v>301</v>
      </c>
      <c r="E48" s="118" t="s">
        <v>309</v>
      </c>
    </row>
    <row r="49" spans="1:5" x14ac:dyDescent="0.2">
      <c r="A49" s="115">
        <f t="shared" si="1"/>
        <v>23</v>
      </c>
      <c r="B49" s="119" t="s">
        <v>138</v>
      </c>
      <c r="C49" s="118" t="s">
        <v>8</v>
      </c>
      <c r="D49" s="118" t="s">
        <v>301</v>
      </c>
      <c r="E49" s="118" t="s">
        <v>306</v>
      </c>
    </row>
    <row r="50" spans="1:5" x14ac:dyDescent="0.2">
      <c r="A50" s="115">
        <f t="shared" si="1"/>
        <v>24</v>
      </c>
      <c r="B50" s="116" t="s">
        <v>239</v>
      </c>
      <c r="C50" s="117" t="s">
        <v>7</v>
      </c>
      <c r="D50" s="117" t="s">
        <v>301</v>
      </c>
      <c r="E50" s="118" t="s">
        <v>311</v>
      </c>
    </row>
    <row r="51" spans="1:5" x14ac:dyDescent="0.2">
      <c r="A51" s="115">
        <f t="shared" si="1"/>
        <v>25</v>
      </c>
      <c r="B51" s="116" t="s">
        <v>240</v>
      </c>
      <c r="C51" s="117" t="s">
        <v>7</v>
      </c>
      <c r="D51" s="117" t="s">
        <v>301</v>
      </c>
      <c r="E51" s="118" t="s">
        <v>311</v>
      </c>
    </row>
    <row r="52" spans="1:5" x14ac:dyDescent="0.2">
      <c r="A52" s="115">
        <f t="shared" si="1"/>
        <v>26</v>
      </c>
      <c r="B52" s="116" t="s">
        <v>35</v>
      </c>
      <c r="C52" s="117" t="s">
        <v>8</v>
      </c>
      <c r="D52" s="117" t="s">
        <v>301</v>
      </c>
      <c r="E52" s="118" t="s">
        <v>302</v>
      </c>
    </row>
    <row r="53" spans="1:5" x14ac:dyDescent="0.2">
      <c r="A53" s="115">
        <f t="shared" si="1"/>
        <v>27</v>
      </c>
      <c r="B53" s="116" t="s">
        <v>36</v>
      </c>
      <c r="C53" s="117" t="s">
        <v>7</v>
      </c>
      <c r="D53" s="117" t="s">
        <v>301</v>
      </c>
      <c r="E53" s="118" t="s">
        <v>302</v>
      </c>
    </row>
    <row r="54" spans="1:5" x14ac:dyDescent="0.2">
      <c r="A54" s="115">
        <f t="shared" si="1"/>
        <v>28</v>
      </c>
      <c r="B54" s="116" t="s">
        <v>69</v>
      </c>
      <c r="C54" s="117" t="s">
        <v>8</v>
      </c>
      <c r="D54" s="117" t="s">
        <v>301</v>
      </c>
      <c r="E54" s="118" t="s">
        <v>303</v>
      </c>
    </row>
    <row r="55" spans="1:5" x14ac:dyDescent="0.2">
      <c r="A55" s="115">
        <f t="shared" si="1"/>
        <v>29</v>
      </c>
      <c r="B55" s="116" t="s">
        <v>241</v>
      </c>
      <c r="C55" s="117" t="s">
        <v>7</v>
      </c>
      <c r="D55" s="117" t="s">
        <v>301</v>
      </c>
      <c r="E55" s="118" t="s">
        <v>311</v>
      </c>
    </row>
    <row r="56" spans="1:5" x14ac:dyDescent="0.2">
      <c r="A56" s="115">
        <f t="shared" si="1"/>
        <v>30</v>
      </c>
      <c r="B56" s="119" t="s">
        <v>204</v>
      </c>
      <c r="C56" s="118" t="s">
        <v>7</v>
      </c>
      <c r="D56" s="118" t="s">
        <v>301</v>
      </c>
      <c r="E56" s="118" t="s">
        <v>310</v>
      </c>
    </row>
    <row r="57" spans="1:5" x14ac:dyDescent="0.2">
      <c r="A57" s="115">
        <f t="shared" si="1"/>
        <v>31</v>
      </c>
      <c r="B57" s="119" t="s">
        <v>139</v>
      </c>
      <c r="C57" s="118" t="s">
        <v>7</v>
      </c>
      <c r="D57" s="118" t="s">
        <v>301</v>
      </c>
      <c r="E57" s="118" t="s">
        <v>306</v>
      </c>
    </row>
    <row r="58" spans="1:5" x14ac:dyDescent="0.2">
      <c r="A58" s="115">
        <f t="shared" si="1"/>
        <v>32</v>
      </c>
      <c r="B58" s="116" t="s">
        <v>37</v>
      </c>
      <c r="C58" s="117" t="s">
        <v>7</v>
      </c>
      <c r="D58" s="117" t="s">
        <v>301</v>
      </c>
      <c r="E58" s="118" t="s">
        <v>302</v>
      </c>
    </row>
    <row r="59" spans="1:5" x14ac:dyDescent="0.2">
      <c r="A59" s="115">
        <f t="shared" si="1"/>
        <v>33</v>
      </c>
      <c r="B59" s="116" t="s">
        <v>276</v>
      </c>
      <c r="C59" s="117" t="s">
        <v>7</v>
      </c>
      <c r="D59" s="117" t="s">
        <v>301</v>
      </c>
      <c r="E59" s="118" t="s">
        <v>312</v>
      </c>
    </row>
    <row r="60" spans="1:5" x14ac:dyDescent="0.2">
      <c r="A60" s="115">
        <f t="shared" si="1"/>
        <v>34</v>
      </c>
      <c r="B60" s="119" t="s">
        <v>174</v>
      </c>
      <c r="C60" s="118" t="s">
        <v>7</v>
      </c>
      <c r="D60" s="118" t="s">
        <v>301</v>
      </c>
      <c r="E60" s="118" t="s">
        <v>309</v>
      </c>
    </row>
    <row r="61" spans="1:5" x14ac:dyDescent="0.2">
      <c r="A61" s="115">
        <f t="shared" si="1"/>
        <v>35</v>
      </c>
      <c r="B61" s="119" t="s">
        <v>101</v>
      </c>
      <c r="C61" s="118" t="s">
        <v>8</v>
      </c>
      <c r="D61" s="118" t="s">
        <v>305</v>
      </c>
      <c r="E61" s="118" t="s">
        <v>309</v>
      </c>
    </row>
    <row r="62" spans="1:5" x14ac:dyDescent="0.2">
      <c r="A62" s="115">
        <f t="shared" si="1"/>
        <v>36</v>
      </c>
      <c r="B62" s="119" t="s">
        <v>205</v>
      </c>
      <c r="C62" s="118" t="s">
        <v>7</v>
      </c>
      <c r="D62" s="118" t="s">
        <v>301</v>
      </c>
      <c r="E62" s="118" t="s">
        <v>310</v>
      </c>
    </row>
    <row r="63" spans="1:5" x14ac:dyDescent="0.2">
      <c r="A63" s="115">
        <f t="shared" si="1"/>
        <v>37</v>
      </c>
      <c r="B63" s="116" t="s">
        <v>38</v>
      </c>
      <c r="C63" s="117" t="s">
        <v>8</v>
      </c>
      <c r="D63" s="117" t="s">
        <v>301</v>
      </c>
      <c r="E63" s="118" t="s">
        <v>302</v>
      </c>
    </row>
    <row r="64" spans="1:5" x14ac:dyDescent="0.2">
      <c r="A64" s="115">
        <f t="shared" si="1"/>
        <v>38</v>
      </c>
      <c r="B64" s="116" t="s">
        <v>242</v>
      </c>
      <c r="C64" s="117" t="s">
        <v>8</v>
      </c>
      <c r="D64" s="117" t="s">
        <v>301</v>
      </c>
      <c r="E64" s="118" t="s">
        <v>311</v>
      </c>
    </row>
    <row r="65" spans="1:5" x14ac:dyDescent="0.2">
      <c r="A65" s="115">
        <f t="shared" si="1"/>
        <v>39</v>
      </c>
      <c r="B65" s="116" t="s">
        <v>39</v>
      </c>
      <c r="C65" s="117" t="s">
        <v>7</v>
      </c>
      <c r="D65" s="117" t="s">
        <v>301</v>
      </c>
      <c r="E65" s="118" t="s">
        <v>302</v>
      </c>
    </row>
    <row r="66" spans="1:5" x14ac:dyDescent="0.2">
      <c r="A66" s="115">
        <f t="shared" si="1"/>
        <v>40</v>
      </c>
      <c r="B66" s="119" t="s">
        <v>102</v>
      </c>
      <c r="C66" s="118" t="s">
        <v>8</v>
      </c>
      <c r="D66" s="118" t="s">
        <v>301</v>
      </c>
      <c r="E66" s="118" t="s">
        <v>304</v>
      </c>
    </row>
    <row r="67" spans="1:5" x14ac:dyDescent="0.2">
      <c r="A67" s="115">
        <f t="shared" si="1"/>
        <v>41</v>
      </c>
      <c r="B67" s="119" t="s">
        <v>206</v>
      </c>
      <c r="C67" s="118" t="s">
        <v>8</v>
      </c>
      <c r="D67" s="118" t="s">
        <v>301</v>
      </c>
      <c r="E67" s="118" t="s">
        <v>310</v>
      </c>
    </row>
    <row r="68" spans="1:5" x14ac:dyDescent="0.2">
      <c r="A68" s="115">
        <f t="shared" si="1"/>
        <v>42</v>
      </c>
      <c r="B68" s="116" t="s">
        <v>243</v>
      </c>
      <c r="C68" s="117" t="s">
        <v>7</v>
      </c>
      <c r="D68" s="117" t="s">
        <v>301</v>
      </c>
      <c r="E68" s="118" t="s">
        <v>311</v>
      </c>
    </row>
    <row r="69" spans="1:5" x14ac:dyDescent="0.2">
      <c r="A69" s="115">
        <f t="shared" si="1"/>
        <v>43</v>
      </c>
      <c r="B69" s="116" t="s">
        <v>40</v>
      </c>
      <c r="C69" s="117" t="s">
        <v>7</v>
      </c>
      <c r="D69" s="117" t="s">
        <v>301</v>
      </c>
      <c r="E69" s="118" t="s">
        <v>302</v>
      </c>
    </row>
    <row r="70" spans="1:5" x14ac:dyDescent="0.2">
      <c r="A70" s="115">
        <f t="shared" si="1"/>
        <v>44</v>
      </c>
      <c r="B70" s="116" t="s">
        <v>277</v>
      </c>
      <c r="C70" s="117" t="s">
        <v>8</v>
      </c>
      <c r="D70" s="117" t="s">
        <v>301</v>
      </c>
      <c r="E70" s="118" t="s">
        <v>312</v>
      </c>
    </row>
    <row r="71" spans="1:5" x14ac:dyDescent="0.2">
      <c r="A71" s="115">
        <f t="shared" si="1"/>
        <v>45</v>
      </c>
      <c r="B71" s="119" t="s">
        <v>207</v>
      </c>
      <c r="C71" s="118" t="s">
        <v>8</v>
      </c>
      <c r="D71" s="118" t="s">
        <v>301</v>
      </c>
      <c r="E71" s="118" t="s">
        <v>310</v>
      </c>
    </row>
    <row r="72" spans="1:5" x14ac:dyDescent="0.2">
      <c r="A72" s="115">
        <f t="shared" si="1"/>
        <v>46</v>
      </c>
      <c r="B72" s="116" t="s">
        <v>70</v>
      </c>
      <c r="C72" s="117" t="s">
        <v>7</v>
      </c>
      <c r="D72" s="117" t="s">
        <v>301</v>
      </c>
      <c r="E72" s="118" t="s">
        <v>303</v>
      </c>
    </row>
    <row r="73" spans="1:5" x14ac:dyDescent="0.2">
      <c r="A73" s="115">
        <f t="shared" si="1"/>
        <v>47</v>
      </c>
      <c r="B73" s="119" t="s">
        <v>175</v>
      </c>
      <c r="C73" s="118" t="s">
        <v>7</v>
      </c>
      <c r="D73" s="118" t="s">
        <v>301</v>
      </c>
      <c r="E73" s="118" t="s">
        <v>309</v>
      </c>
    </row>
    <row r="74" spans="1:5" x14ac:dyDescent="0.2">
      <c r="A74" s="115">
        <f t="shared" si="1"/>
        <v>48</v>
      </c>
      <c r="B74" s="116" t="s">
        <v>278</v>
      </c>
      <c r="C74" s="117" t="s">
        <v>7</v>
      </c>
      <c r="D74" s="117" t="s">
        <v>301</v>
      </c>
      <c r="E74" s="118" t="s">
        <v>312</v>
      </c>
    </row>
    <row r="75" spans="1:5" x14ac:dyDescent="0.2">
      <c r="A75" s="115">
        <f t="shared" si="1"/>
        <v>49</v>
      </c>
      <c r="B75" s="119" t="s">
        <v>103</v>
      </c>
      <c r="C75" s="118" t="s">
        <v>7</v>
      </c>
      <c r="D75" s="118" t="s">
        <v>301</v>
      </c>
      <c r="E75" s="118" t="s">
        <v>304</v>
      </c>
    </row>
    <row r="76" spans="1:5" x14ac:dyDescent="0.2">
      <c r="A76" s="115">
        <f t="shared" si="1"/>
        <v>50</v>
      </c>
      <c r="B76" s="116" t="s">
        <v>244</v>
      </c>
      <c r="C76" s="117" t="s">
        <v>8</v>
      </c>
      <c r="D76" s="117" t="s">
        <v>301</v>
      </c>
      <c r="E76" s="118" t="s">
        <v>311</v>
      </c>
    </row>
    <row r="77" spans="1:5" x14ac:dyDescent="0.2">
      <c r="A77" s="115">
        <f t="shared" si="1"/>
        <v>51</v>
      </c>
      <c r="B77" s="119" t="s">
        <v>176</v>
      </c>
      <c r="C77" s="118" t="s">
        <v>8</v>
      </c>
      <c r="D77" s="118" t="s">
        <v>301</v>
      </c>
      <c r="E77" s="118" t="s">
        <v>309</v>
      </c>
    </row>
    <row r="78" spans="1:5" x14ac:dyDescent="0.2">
      <c r="A78" s="115">
        <f t="shared" si="1"/>
        <v>52</v>
      </c>
      <c r="B78" s="119" t="s">
        <v>140</v>
      </c>
      <c r="C78" s="118" t="s">
        <v>7</v>
      </c>
      <c r="D78" s="118" t="s">
        <v>301</v>
      </c>
      <c r="E78" s="118" t="s">
        <v>306</v>
      </c>
    </row>
    <row r="79" spans="1:5" x14ac:dyDescent="0.2">
      <c r="A79" s="115">
        <f t="shared" si="1"/>
        <v>53</v>
      </c>
      <c r="B79" s="116" t="s">
        <v>41</v>
      </c>
      <c r="C79" s="117" t="s">
        <v>7</v>
      </c>
      <c r="D79" s="117" t="s">
        <v>301</v>
      </c>
      <c r="E79" s="118" t="s">
        <v>302</v>
      </c>
    </row>
    <row r="80" spans="1:5" x14ac:dyDescent="0.2">
      <c r="A80" s="115">
        <f t="shared" si="1"/>
        <v>54</v>
      </c>
      <c r="B80" s="116" t="s">
        <v>245</v>
      </c>
      <c r="C80" s="117" t="s">
        <v>7</v>
      </c>
      <c r="D80" s="117" t="s">
        <v>301</v>
      </c>
      <c r="E80" s="118" t="s">
        <v>311</v>
      </c>
    </row>
    <row r="81" spans="1:5" x14ac:dyDescent="0.2">
      <c r="A81" s="115">
        <f t="shared" si="1"/>
        <v>55</v>
      </c>
      <c r="B81" s="119" t="s">
        <v>177</v>
      </c>
      <c r="C81" s="118" t="s">
        <v>7</v>
      </c>
      <c r="D81" s="118" t="s">
        <v>301</v>
      </c>
      <c r="E81" s="118" t="s">
        <v>309</v>
      </c>
    </row>
    <row r="82" spans="1:5" x14ac:dyDescent="0.2">
      <c r="A82" s="115">
        <f t="shared" si="1"/>
        <v>56</v>
      </c>
      <c r="B82" s="119" t="s">
        <v>208</v>
      </c>
      <c r="C82" s="118" t="s">
        <v>7</v>
      </c>
      <c r="D82" s="118" t="s">
        <v>301</v>
      </c>
      <c r="E82" s="118" t="s">
        <v>310</v>
      </c>
    </row>
    <row r="83" spans="1:5" x14ac:dyDescent="0.2">
      <c r="A83" s="115">
        <f t="shared" si="1"/>
        <v>57</v>
      </c>
      <c r="B83" s="119" t="s">
        <v>178</v>
      </c>
      <c r="C83" s="118" t="s">
        <v>7</v>
      </c>
      <c r="D83" s="118" t="s">
        <v>301</v>
      </c>
      <c r="E83" s="118" t="s">
        <v>304</v>
      </c>
    </row>
    <row r="84" spans="1:5" x14ac:dyDescent="0.2">
      <c r="A84" s="115">
        <f t="shared" si="1"/>
        <v>58</v>
      </c>
      <c r="B84" s="119" t="s">
        <v>104</v>
      </c>
      <c r="C84" s="118" t="s">
        <v>7</v>
      </c>
      <c r="D84" s="118" t="s">
        <v>301</v>
      </c>
      <c r="E84" s="118" t="s">
        <v>304</v>
      </c>
    </row>
    <row r="85" spans="1:5" x14ac:dyDescent="0.2">
      <c r="A85" s="115">
        <f t="shared" si="1"/>
        <v>59</v>
      </c>
      <c r="B85" s="119" t="s">
        <v>209</v>
      </c>
      <c r="C85" s="118" t="s">
        <v>7</v>
      </c>
      <c r="D85" s="118" t="s">
        <v>301</v>
      </c>
      <c r="E85" s="118" t="s">
        <v>310</v>
      </c>
    </row>
    <row r="86" spans="1:5" x14ac:dyDescent="0.2">
      <c r="A86" s="115">
        <f t="shared" si="1"/>
        <v>60</v>
      </c>
      <c r="B86" s="116" t="s">
        <v>279</v>
      </c>
      <c r="C86" s="117" t="s">
        <v>7</v>
      </c>
      <c r="D86" s="117" t="s">
        <v>301</v>
      </c>
      <c r="E86" s="118" t="s">
        <v>312</v>
      </c>
    </row>
    <row r="87" spans="1:5" x14ac:dyDescent="0.2">
      <c r="A87" s="115">
        <f t="shared" si="1"/>
        <v>61</v>
      </c>
      <c r="B87" s="119" t="s">
        <v>105</v>
      </c>
      <c r="C87" s="118" t="s">
        <v>7</v>
      </c>
      <c r="D87" s="118" t="s">
        <v>305</v>
      </c>
      <c r="E87" s="118" t="s">
        <v>309</v>
      </c>
    </row>
    <row r="88" spans="1:5" x14ac:dyDescent="0.2">
      <c r="A88" s="115">
        <f t="shared" si="1"/>
        <v>62</v>
      </c>
      <c r="B88" s="119" t="s">
        <v>106</v>
      </c>
      <c r="C88" s="118" t="s">
        <v>7</v>
      </c>
      <c r="D88" s="118" t="s">
        <v>305</v>
      </c>
      <c r="E88" s="118" t="s">
        <v>304</v>
      </c>
    </row>
    <row r="89" spans="1:5" x14ac:dyDescent="0.2">
      <c r="A89" s="115">
        <f t="shared" si="1"/>
        <v>63</v>
      </c>
      <c r="B89" s="116" t="s">
        <v>71</v>
      </c>
      <c r="C89" s="117" t="s">
        <v>8</v>
      </c>
      <c r="D89" s="117" t="s">
        <v>301</v>
      </c>
      <c r="E89" s="118" t="s">
        <v>303</v>
      </c>
    </row>
    <row r="90" spans="1:5" x14ac:dyDescent="0.2">
      <c r="A90" s="115">
        <f t="shared" si="1"/>
        <v>64</v>
      </c>
      <c r="B90" s="116" t="s">
        <v>280</v>
      </c>
      <c r="C90" s="117" t="s">
        <v>7</v>
      </c>
      <c r="D90" s="117" t="s">
        <v>301</v>
      </c>
      <c r="E90" s="118" t="s">
        <v>312</v>
      </c>
    </row>
    <row r="91" spans="1:5" x14ac:dyDescent="0.2">
      <c r="A91" s="115">
        <f t="shared" si="1"/>
        <v>65</v>
      </c>
      <c r="B91" s="119" t="s">
        <v>210</v>
      </c>
      <c r="C91" s="118" t="s">
        <v>8</v>
      </c>
      <c r="D91" s="118" t="s">
        <v>301</v>
      </c>
      <c r="E91" s="118" t="s">
        <v>310</v>
      </c>
    </row>
    <row r="92" spans="1:5" x14ac:dyDescent="0.2">
      <c r="A92" s="115">
        <f t="shared" ref="A92:A155" si="2">A91+1</f>
        <v>66</v>
      </c>
      <c r="B92" s="119" t="s">
        <v>211</v>
      </c>
      <c r="C92" s="118" t="s">
        <v>7</v>
      </c>
      <c r="D92" s="118" t="s">
        <v>301</v>
      </c>
      <c r="E92" s="118" t="s">
        <v>310</v>
      </c>
    </row>
    <row r="93" spans="1:5" x14ac:dyDescent="0.2">
      <c r="A93" s="115">
        <f t="shared" si="2"/>
        <v>67</v>
      </c>
      <c r="B93" s="116" t="s">
        <v>42</v>
      </c>
      <c r="C93" s="117" t="s">
        <v>7</v>
      </c>
      <c r="D93" s="117" t="s">
        <v>301</v>
      </c>
      <c r="E93" s="118" t="s">
        <v>302</v>
      </c>
    </row>
    <row r="94" spans="1:5" x14ac:dyDescent="0.2">
      <c r="A94" s="115">
        <f t="shared" si="2"/>
        <v>68</v>
      </c>
      <c r="B94" s="119" t="s">
        <v>141</v>
      </c>
      <c r="C94" s="118" t="s">
        <v>7</v>
      </c>
      <c r="D94" s="118" t="s">
        <v>301</v>
      </c>
      <c r="E94" s="118" t="s">
        <v>306</v>
      </c>
    </row>
    <row r="95" spans="1:5" x14ac:dyDescent="0.2">
      <c r="A95" s="115">
        <f t="shared" si="2"/>
        <v>69</v>
      </c>
      <c r="B95" s="116" t="s">
        <v>72</v>
      </c>
      <c r="C95" s="117" t="s">
        <v>8</v>
      </c>
      <c r="D95" s="117" t="s">
        <v>301</v>
      </c>
      <c r="E95" s="118" t="s">
        <v>303</v>
      </c>
    </row>
    <row r="96" spans="1:5" x14ac:dyDescent="0.2">
      <c r="A96" s="115">
        <f t="shared" si="2"/>
        <v>70</v>
      </c>
      <c r="B96" s="119" t="s">
        <v>107</v>
      </c>
      <c r="C96" s="118" t="s">
        <v>7</v>
      </c>
      <c r="D96" s="118" t="s">
        <v>305</v>
      </c>
      <c r="E96" s="118" t="s">
        <v>309</v>
      </c>
    </row>
    <row r="97" spans="1:5" x14ac:dyDescent="0.2">
      <c r="A97" s="115">
        <f t="shared" si="2"/>
        <v>71</v>
      </c>
      <c r="B97" s="119" t="s">
        <v>142</v>
      </c>
      <c r="C97" s="118" t="s">
        <v>8</v>
      </c>
      <c r="D97" s="118" t="s">
        <v>301</v>
      </c>
      <c r="E97" s="118" t="s">
        <v>306</v>
      </c>
    </row>
    <row r="98" spans="1:5" x14ac:dyDescent="0.2">
      <c r="A98" s="115">
        <f t="shared" si="2"/>
        <v>72</v>
      </c>
      <c r="B98" s="116" t="s">
        <v>43</v>
      </c>
      <c r="C98" s="117" t="s">
        <v>7</v>
      </c>
      <c r="D98" s="117" t="s">
        <v>301</v>
      </c>
      <c r="E98" s="118" t="s">
        <v>302</v>
      </c>
    </row>
    <row r="99" spans="1:5" x14ac:dyDescent="0.2">
      <c r="A99" s="115">
        <f t="shared" si="2"/>
        <v>73</v>
      </c>
      <c r="B99" s="116" t="s">
        <v>44</v>
      </c>
      <c r="C99" s="117" t="s">
        <v>8</v>
      </c>
      <c r="D99" s="117" t="s">
        <v>301</v>
      </c>
      <c r="E99" s="118" t="s">
        <v>302</v>
      </c>
    </row>
    <row r="100" spans="1:5" x14ac:dyDescent="0.2">
      <c r="A100" s="115">
        <f t="shared" si="2"/>
        <v>74</v>
      </c>
      <c r="B100" s="116" t="s">
        <v>246</v>
      </c>
      <c r="C100" s="117" t="s">
        <v>7</v>
      </c>
      <c r="D100" s="117" t="s">
        <v>301</v>
      </c>
      <c r="E100" s="118" t="s">
        <v>311</v>
      </c>
    </row>
    <row r="101" spans="1:5" x14ac:dyDescent="0.2">
      <c r="A101" s="115">
        <f t="shared" si="2"/>
        <v>75</v>
      </c>
      <c r="B101" s="116" t="s">
        <v>73</v>
      </c>
      <c r="C101" s="117" t="s">
        <v>8</v>
      </c>
      <c r="D101" s="117" t="s">
        <v>301</v>
      </c>
      <c r="E101" s="118" t="s">
        <v>303</v>
      </c>
    </row>
    <row r="102" spans="1:5" x14ac:dyDescent="0.2">
      <c r="A102" s="115">
        <f t="shared" si="2"/>
        <v>76</v>
      </c>
      <c r="B102" s="119" t="s">
        <v>143</v>
      </c>
      <c r="C102" s="118" t="s">
        <v>7</v>
      </c>
      <c r="D102" s="118" t="s">
        <v>301</v>
      </c>
      <c r="E102" s="118" t="s">
        <v>306</v>
      </c>
    </row>
    <row r="103" spans="1:5" x14ac:dyDescent="0.2">
      <c r="A103" s="115">
        <f t="shared" si="2"/>
        <v>77</v>
      </c>
      <c r="B103" s="116" t="s">
        <v>281</v>
      </c>
      <c r="C103" s="117" t="s">
        <v>7</v>
      </c>
      <c r="D103" s="117" t="s">
        <v>301</v>
      </c>
      <c r="E103" s="118" t="s">
        <v>312</v>
      </c>
    </row>
    <row r="104" spans="1:5" x14ac:dyDescent="0.2">
      <c r="A104" s="115">
        <f t="shared" si="2"/>
        <v>78</v>
      </c>
      <c r="B104" s="119" t="s">
        <v>108</v>
      </c>
      <c r="C104" s="118" t="s">
        <v>7</v>
      </c>
      <c r="D104" s="118" t="s">
        <v>305</v>
      </c>
      <c r="E104" s="118" t="s">
        <v>304</v>
      </c>
    </row>
    <row r="105" spans="1:5" x14ac:dyDescent="0.2">
      <c r="A105" s="115">
        <f t="shared" si="2"/>
        <v>79</v>
      </c>
      <c r="B105" s="119" t="s">
        <v>144</v>
      </c>
      <c r="C105" s="118" t="s">
        <v>7</v>
      </c>
      <c r="D105" s="118" t="s">
        <v>308</v>
      </c>
      <c r="E105" s="118" t="s">
        <v>306</v>
      </c>
    </row>
    <row r="106" spans="1:5" x14ac:dyDescent="0.2">
      <c r="A106" s="115">
        <f t="shared" si="2"/>
        <v>80</v>
      </c>
      <c r="B106" s="119" t="s">
        <v>109</v>
      </c>
      <c r="C106" s="118" t="s">
        <v>7</v>
      </c>
      <c r="D106" s="118" t="s">
        <v>305</v>
      </c>
      <c r="E106" s="118" t="s">
        <v>304</v>
      </c>
    </row>
    <row r="107" spans="1:5" x14ac:dyDescent="0.2">
      <c r="A107" s="115">
        <f t="shared" si="2"/>
        <v>81</v>
      </c>
      <c r="B107" s="119" t="s">
        <v>110</v>
      </c>
      <c r="C107" s="118" t="s">
        <v>7</v>
      </c>
      <c r="D107" s="118" t="s">
        <v>305</v>
      </c>
      <c r="E107" s="118" t="s">
        <v>309</v>
      </c>
    </row>
    <row r="108" spans="1:5" x14ac:dyDescent="0.2">
      <c r="A108" s="115">
        <f t="shared" si="2"/>
        <v>82</v>
      </c>
      <c r="B108" s="119" t="s">
        <v>179</v>
      </c>
      <c r="C108" s="118" t="s">
        <v>8</v>
      </c>
      <c r="D108" s="118" t="s">
        <v>301</v>
      </c>
      <c r="E108" s="118" t="s">
        <v>309</v>
      </c>
    </row>
    <row r="109" spans="1:5" x14ac:dyDescent="0.2">
      <c r="A109" s="115">
        <f t="shared" si="2"/>
        <v>83</v>
      </c>
      <c r="B109" s="116" t="s">
        <v>74</v>
      </c>
      <c r="C109" s="117" t="s">
        <v>7</v>
      </c>
      <c r="D109" s="117" t="s">
        <v>301</v>
      </c>
      <c r="E109" s="118" t="s">
        <v>303</v>
      </c>
    </row>
    <row r="110" spans="1:5" x14ac:dyDescent="0.2">
      <c r="A110" s="115">
        <f t="shared" si="2"/>
        <v>84</v>
      </c>
      <c r="B110" s="119" t="s">
        <v>180</v>
      </c>
      <c r="C110" s="118" t="s">
        <v>7</v>
      </c>
      <c r="D110" s="118" t="s">
        <v>301</v>
      </c>
      <c r="E110" s="118" t="s">
        <v>309</v>
      </c>
    </row>
    <row r="111" spans="1:5" x14ac:dyDescent="0.2">
      <c r="A111" s="115">
        <f t="shared" si="2"/>
        <v>85</v>
      </c>
      <c r="B111" s="119" t="s">
        <v>212</v>
      </c>
      <c r="C111" s="118" t="s">
        <v>7</v>
      </c>
      <c r="D111" s="118" t="s">
        <v>301</v>
      </c>
      <c r="E111" s="118" t="s">
        <v>310</v>
      </c>
    </row>
    <row r="112" spans="1:5" x14ac:dyDescent="0.2">
      <c r="A112" s="115">
        <f t="shared" si="2"/>
        <v>86</v>
      </c>
      <c r="B112" s="116" t="s">
        <v>247</v>
      </c>
      <c r="C112" s="117" t="s">
        <v>7</v>
      </c>
      <c r="D112" s="117" t="s">
        <v>301</v>
      </c>
      <c r="E112" s="118" t="s">
        <v>311</v>
      </c>
    </row>
    <row r="113" spans="1:5" x14ac:dyDescent="0.2">
      <c r="A113" s="115">
        <f t="shared" si="2"/>
        <v>87</v>
      </c>
      <c r="B113" s="119" t="s">
        <v>213</v>
      </c>
      <c r="C113" s="118" t="s">
        <v>7</v>
      </c>
      <c r="D113" s="118" t="s">
        <v>301</v>
      </c>
      <c r="E113" s="118" t="s">
        <v>310</v>
      </c>
    </row>
    <row r="114" spans="1:5" x14ac:dyDescent="0.2">
      <c r="A114" s="115">
        <f t="shared" si="2"/>
        <v>88</v>
      </c>
      <c r="B114" s="119" t="s">
        <v>111</v>
      </c>
      <c r="C114" s="118" t="s">
        <v>7</v>
      </c>
      <c r="D114" s="118" t="s">
        <v>305</v>
      </c>
      <c r="E114" s="118" t="s">
        <v>309</v>
      </c>
    </row>
    <row r="115" spans="1:5" x14ac:dyDescent="0.2">
      <c r="A115" s="115">
        <f t="shared" si="2"/>
        <v>89</v>
      </c>
      <c r="B115" s="119" t="s">
        <v>112</v>
      </c>
      <c r="C115" s="118" t="s">
        <v>7</v>
      </c>
      <c r="D115" s="118" t="s">
        <v>305</v>
      </c>
      <c r="E115" s="118" t="s">
        <v>304</v>
      </c>
    </row>
    <row r="116" spans="1:5" x14ac:dyDescent="0.2">
      <c r="A116" s="115">
        <f t="shared" si="2"/>
        <v>90</v>
      </c>
      <c r="B116" s="119" t="s">
        <v>113</v>
      </c>
      <c r="C116" s="118" t="s">
        <v>7</v>
      </c>
      <c r="D116" s="118" t="s">
        <v>305</v>
      </c>
      <c r="E116" s="118" t="s">
        <v>304</v>
      </c>
    </row>
    <row r="117" spans="1:5" x14ac:dyDescent="0.2">
      <c r="A117" s="115">
        <f t="shared" si="2"/>
        <v>91</v>
      </c>
      <c r="B117" s="119" t="s">
        <v>114</v>
      </c>
      <c r="C117" s="118" t="s">
        <v>7</v>
      </c>
      <c r="D117" s="118" t="s">
        <v>305</v>
      </c>
      <c r="E117" s="118" t="s">
        <v>309</v>
      </c>
    </row>
    <row r="118" spans="1:5" x14ac:dyDescent="0.2">
      <c r="A118" s="115">
        <f t="shared" si="2"/>
        <v>92</v>
      </c>
      <c r="B118" s="119" t="s">
        <v>145</v>
      </c>
      <c r="C118" s="118" t="s">
        <v>7</v>
      </c>
      <c r="D118" s="118" t="s">
        <v>308</v>
      </c>
      <c r="E118" s="118" t="s">
        <v>306</v>
      </c>
    </row>
    <row r="119" spans="1:5" x14ac:dyDescent="0.2">
      <c r="A119" s="115">
        <f t="shared" si="2"/>
        <v>93</v>
      </c>
      <c r="B119" s="116" t="s">
        <v>45</v>
      </c>
      <c r="C119" s="117" t="s">
        <v>8</v>
      </c>
      <c r="D119" s="117" t="s">
        <v>301</v>
      </c>
      <c r="E119" s="118" t="s">
        <v>302</v>
      </c>
    </row>
    <row r="120" spans="1:5" x14ac:dyDescent="0.2">
      <c r="A120" s="115">
        <f t="shared" si="2"/>
        <v>94</v>
      </c>
      <c r="B120" s="119" t="s">
        <v>115</v>
      </c>
      <c r="C120" s="118" t="s">
        <v>8</v>
      </c>
      <c r="D120" s="118" t="s">
        <v>301</v>
      </c>
      <c r="E120" s="118" t="s">
        <v>304</v>
      </c>
    </row>
    <row r="121" spans="1:5" x14ac:dyDescent="0.2">
      <c r="A121" s="115">
        <f t="shared" si="2"/>
        <v>95</v>
      </c>
      <c r="B121" s="119" t="s">
        <v>146</v>
      </c>
      <c r="C121" s="118" t="s">
        <v>8</v>
      </c>
      <c r="D121" s="118" t="s">
        <v>301</v>
      </c>
      <c r="E121" s="118" t="s">
        <v>306</v>
      </c>
    </row>
    <row r="122" spans="1:5" x14ac:dyDescent="0.2">
      <c r="A122" s="115">
        <f t="shared" si="2"/>
        <v>96</v>
      </c>
      <c r="B122" s="119" t="s">
        <v>116</v>
      </c>
      <c r="C122" s="118" t="s">
        <v>7</v>
      </c>
      <c r="D122" s="118" t="s">
        <v>305</v>
      </c>
      <c r="E122" s="118" t="s">
        <v>304</v>
      </c>
    </row>
    <row r="123" spans="1:5" x14ac:dyDescent="0.2">
      <c r="A123" s="115">
        <f t="shared" si="2"/>
        <v>97</v>
      </c>
      <c r="B123" s="119" t="s">
        <v>117</v>
      </c>
      <c r="C123" s="118" t="s">
        <v>7</v>
      </c>
      <c r="D123" s="118" t="s">
        <v>305</v>
      </c>
      <c r="E123" s="118" t="s">
        <v>309</v>
      </c>
    </row>
    <row r="124" spans="1:5" x14ac:dyDescent="0.2">
      <c r="A124" s="115">
        <f t="shared" si="2"/>
        <v>98</v>
      </c>
      <c r="B124" s="116" t="s">
        <v>75</v>
      </c>
      <c r="C124" s="117" t="s">
        <v>7</v>
      </c>
      <c r="D124" s="117" t="s">
        <v>301</v>
      </c>
      <c r="E124" s="118" t="s">
        <v>303</v>
      </c>
    </row>
    <row r="125" spans="1:5" x14ac:dyDescent="0.2">
      <c r="A125" s="115">
        <f t="shared" si="2"/>
        <v>99</v>
      </c>
      <c r="B125" s="116" t="s">
        <v>248</v>
      </c>
      <c r="C125" s="117" t="s">
        <v>7</v>
      </c>
      <c r="D125" s="117" t="s">
        <v>301</v>
      </c>
      <c r="E125" s="118" t="s">
        <v>311</v>
      </c>
    </row>
    <row r="126" spans="1:5" x14ac:dyDescent="0.2">
      <c r="A126" s="115">
        <f t="shared" si="2"/>
        <v>100</v>
      </c>
      <c r="B126" s="116" t="s">
        <v>249</v>
      </c>
      <c r="C126" s="117" t="s">
        <v>8</v>
      </c>
      <c r="D126" s="117" t="s">
        <v>301</v>
      </c>
      <c r="E126" s="118" t="s">
        <v>311</v>
      </c>
    </row>
    <row r="127" spans="1:5" x14ac:dyDescent="0.2">
      <c r="A127" s="115">
        <f t="shared" si="2"/>
        <v>101</v>
      </c>
      <c r="B127" s="119" t="s">
        <v>181</v>
      </c>
      <c r="C127" s="118" t="s">
        <v>8</v>
      </c>
      <c r="D127" s="118" t="s">
        <v>301</v>
      </c>
      <c r="E127" s="118" t="s">
        <v>309</v>
      </c>
    </row>
    <row r="128" spans="1:5" x14ac:dyDescent="0.2">
      <c r="A128" s="115">
        <f t="shared" si="2"/>
        <v>102</v>
      </c>
      <c r="B128" s="119" t="s">
        <v>147</v>
      </c>
      <c r="C128" s="118" t="s">
        <v>7</v>
      </c>
      <c r="D128" s="118" t="s">
        <v>301</v>
      </c>
      <c r="E128" s="118" t="s">
        <v>306</v>
      </c>
    </row>
    <row r="129" spans="1:5" x14ac:dyDescent="0.2">
      <c r="A129" s="115">
        <f t="shared" si="2"/>
        <v>103</v>
      </c>
      <c r="B129" s="116" t="s">
        <v>76</v>
      </c>
      <c r="C129" s="117" t="s">
        <v>8</v>
      </c>
      <c r="D129" s="117" t="s">
        <v>301</v>
      </c>
      <c r="E129" s="118" t="s">
        <v>303</v>
      </c>
    </row>
    <row r="130" spans="1:5" x14ac:dyDescent="0.2">
      <c r="A130" s="115">
        <f t="shared" si="2"/>
        <v>104</v>
      </c>
      <c r="B130" s="119" t="s">
        <v>182</v>
      </c>
      <c r="C130" s="118" t="s">
        <v>8</v>
      </c>
      <c r="D130" s="118" t="s">
        <v>301</v>
      </c>
      <c r="E130" s="118" t="s">
        <v>304</v>
      </c>
    </row>
    <row r="131" spans="1:5" x14ac:dyDescent="0.2">
      <c r="A131" s="115">
        <f t="shared" si="2"/>
        <v>105</v>
      </c>
      <c r="B131" s="119" t="s">
        <v>214</v>
      </c>
      <c r="C131" s="118" t="s">
        <v>8</v>
      </c>
      <c r="D131" s="118" t="s">
        <v>301</v>
      </c>
      <c r="E131" s="118" t="s">
        <v>310</v>
      </c>
    </row>
    <row r="132" spans="1:5" x14ac:dyDescent="0.2">
      <c r="A132" s="115">
        <f t="shared" si="2"/>
        <v>106</v>
      </c>
      <c r="B132" s="119" t="s">
        <v>118</v>
      </c>
      <c r="C132" s="118" t="s">
        <v>7</v>
      </c>
      <c r="D132" s="118" t="s">
        <v>305</v>
      </c>
      <c r="E132" s="118" t="s">
        <v>309</v>
      </c>
    </row>
    <row r="133" spans="1:5" x14ac:dyDescent="0.2">
      <c r="A133" s="115">
        <f t="shared" si="2"/>
        <v>107</v>
      </c>
      <c r="B133" s="116" t="s">
        <v>46</v>
      </c>
      <c r="C133" s="117" t="s">
        <v>8</v>
      </c>
      <c r="D133" s="117" t="s">
        <v>301</v>
      </c>
      <c r="E133" s="118" t="s">
        <v>302</v>
      </c>
    </row>
    <row r="134" spans="1:5" x14ac:dyDescent="0.2">
      <c r="A134" s="115">
        <f t="shared" si="2"/>
        <v>108</v>
      </c>
      <c r="B134" s="116" t="s">
        <v>47</v>
      </c>
      <c r="C134" s="117" t="s">
        <v>8</v>
      </c>
      <c r="D134" s="117" t="s">
        <v>301</v>
      </c>
      <c r="E134" s="118" t="s">
        <v>302</v>
      </c>
    </row>
    <row r="135" spans="1:5" x14ac:dyDescent="0.2">
      <c r="A135" s="115">
        <f t="shared" si="2"/>
        <v>109</v>
      </c>
      <c r="B135" s="116" t="s">
        <v>77</v>
      </c>
      <c r="C135" s="117" t="s">
        <v>8</v>
      </c>
      <c r="D135" s="117" t="s">
        <v>301</v>
      </c>
      <c r="E135" s="118" t="s">
        <v>303</v>
      </c>
    </row>
    <row r="136" spans="1:5" x14ac:dyDescent="0.2">
      <c r="A136" s="115">
        <f t="shared" si="2"/>
        <v>110</v>
      </c>
      <c r="B136" s="119" t="s">
        <v>215</v>
      </c>
      <c r="C136" s="118" t="s">
        <v>8</v>
      </c>
      <c r="D136" s="118" t="s">
        <v>301</v>
      </c>
      <c r="E136" s="118" t="s">
        <v>310</v>
      </c>
    </row>
    <row r="137" spans="1:5" x14ac:dyDescent="0.2">
      <c r="A137" s="115">
        <f t="shared" si="2"/>
        <v>111</v>
      </c>
      <c r="B137" s="116" t="s">
        <v>282</v>
      </c>
      <c r="C137" s="117" t="s">
        <v>7</v>
      </c>
      <c r="D137" s="117" t="s">
        <v>301</v>
      </c>
      <c r="E137" s="118" t="s">
        <v>312</v>
      </c>
    </row>
    <row r="138" spans="1:5" x14ac:dyDescent="0.2">
      <c r="A138" s="115">
        <f t="shared" si="2"/>
        <v>112</v>
      </c>
      <c r="B138" s="119" t="s">
        <v>119</v>
      </c>
      <c r="C138" s="118" t="s">
        <v>8</v>
      </c>
      <c r="D138" s="118" t="s">
        <v>301</v>
      </c>
      <c r="E138" s="118" t="s">
        <v>304</v>
      </c>
    </row>
    <row r="139" spans="1:5" x14ac:dyDescent="0.2">
      <c r="A139" s="115">
        <f t="shared" si="2"/>
        <v>113</v>
      </c>
      <c r="B139" s="119" t="s">
        <v>148</v>
      </c>
      <c r="C139" s="118" t="s">
        <v>8</v>
      </c>
      <c r="D139" s="118" t="s">
        <v>301</v>
      </c>
      <c r="E139" s="118" t="s">
        <v>306</v>
      </c>
    </row>
    <row r="140" spans="1:5" x14ac:dyDescent="0.2">
      <c r="A140" s="115">
        <f t="shared" si="2"/>
        <v>114</v>
      </c>
      <c r="B140" s="119" t="s">
        <v>183</v>
      </c>
      <c r="C140" s="118" t="s">
        <v>7</v>
      </c>
      <c r="D140" s="118" t="s">
        <v>301</v>
      </c>
      <c r="E140" s="118" t="s">
        <v>304</v>
      </c>
    </row>
    <row r="141" spans="1:5" x14ac:dyDescent="0.2">
      <c r="A141" s="115">
        <f t="shared" si="2"/>
        <v>115</v>
      </c>
      <c r="B141" s="116" t="s">
        <v>48</v>
      </c>
      <c r="C141" s="117" t="s">
        <v>8</v>
      </c>
      <c r="D141" s="117" t="s">
        <v>301</v>
      </c>
      <c r="E141" s="118" t="s">
        <v>302</v>
      </c>
    </row>
    <row r="142" spans="1:5" x14ac:dyDescent="0.2">
      <c r="A142" s="115">
        <f t="shared" si="2"/>
        <v>116</v>
      </c>
      <c r="B142" s="119" t="s">
        <v>184</v>
      </c>
      <c r="C142" s="118" t="s">
        <v>7</v>
      </c>
      <c r="D142" s="118" t="s">
        <v>301</v>
      </c>
      <c r="E142" s="118" t="s">
        <v>304</v>
      </c>
    </row>
    <row r="143" spans="1:5" x14ac:dyDescent="0.2">
      <c r="A143" s="115">
        <f t="shared" si="2"/>
        <v>117</v>
      </c>
      <c r="B143" s="119" t="s">
        <v>185</v>
      </c>
      <c r="C143" s="118" t="s">
        <v>8</v>
      </c>
      <c r="D143" s="118" t="s">
        <v>301</v>
      </c>
      <c r="E143" s="118" t="s">
        <v>309</v>
      </c>
    </row>
    <row r="144" spans="1:5" x14ac:dyDescent="0.2">
      <c r="A144" s="115">
        <f t="shared" si="2"/>
        <v>118</v>
      </c>
      <c r="B144" s="119" t="s">
        <v>186</v>
      </c>
      <c r="C144" s="118" t="s">
        <v>7</v>
      </c>
      <c r="D144" s="118" t="s">
        <v>301</v>
      </c>
      <c r="E144" s="118" t="s">
        <v>304</v>
      </c>
    </row>
    <row r="145" spans="1:5" x14ac:dyDescent="0.2">
      <c r="A145" s="115">
        <f t="shared" si="2"/>
        <v>119</v>
      </c>
      <c r="B145" s="116" t="s">
        <v>283</v>
      </c>
      <c r="C145" s="117" t="s">
        <v>8</v>
      </c>
      <c r="D145" s="117" t="s">
        <v>301</v>
      </c>
      <c r="E145" s="118" t="s">
        <v>312</v>
      </c>
    </row>
    <row r="146" spans="1:5" x14ac:dyDescent="0.2">
      <c r="A146" s="115">
        <f t="shared" si="2"/>
        <v>120</v>
      </c>
      <c r="B146" s="119" t="s">
        <v>187</v>
      </c>
      <c r="C146" s="118" t="s">
        <v>7</v>
      </c>
      <c r="D146" s="118" t="s">
        <v>301</v>
      </c>
      <c r="E146" s="118" t="s">
        <v>304</v>
      </c>
    </row>
    <row r="147" spans="1:5" x14ac:dyDescent="0.2">
      <c r="A147" s="115">
        <f t="shared" si="2"/>
        <v>121</v>
      </c>
      <c r="B147" s="116" t="s">
        <v>49</v>
      </c>
      <c r="C147" s="117" t="s">
        <v>7</v>
      </c>
      <c r="D147" s="117" t="s">
        <v>301</v>
      </c>
      <c r="E147" s="118" t="s">
        <v>302</v>
      </c>
    </row>
    <row r="148" spans="1:5" x14ac:dyDescent="0.2">
      <c r="A148" s="115">
        <f t="shared" si="2"/>
        <v>122</v>
      </c>
      <c r="B148" s="119" t="s">
        <v>149</v>
      </c>
      <c r="C148" s="118" t="s">
        <v>7</v>
      </c>
      <c r="D148" s="118" t="s">
        <v>301</v>
      </c>
      <c r="E148" s="118" t="s">
        <v>306</v>
      </c>
    </row>
    <row r="149" spans="1:5" x14ac:dyDescent="0.2">
      <c r="A149" s="115">
        <f t="shared" si="2"/>
        <v>123</v>
      </c>
      <c r="B149" s="116" t="s">
        <v>50</v>
      </c>
      <c r="C149" s="117" t="s">
        <v>7</v>
      </c>
      <c r="D149" s="117" t="s">
        <v>301</v>
      </c>
      <c r="E149" s="118" t="s">
        <v>302</v>
      </c>
    </row>
    <row r="150" spans="1:5" x14ac:dyDescent="0.2">
      <c r="A150" s="115">
        <f t="shared" si="2"/>
        <v>124</v>
      </c>
      <c r="B150" s="119" t="s">
        <v>216</v>
      </c>
      <c r="C150" s="118" t="s">
        <v>7</v>
      </c>
      <c r="D150" s="118" t="s">
        <v>301</v>
      </c>
      <c r="E150" s="118" t="s">
        <v>310</v>
      </c>
    </row>
    <row r="151" spans="1:5" x14ac:dyDescent="0.2">
      <c r="A151" s="115">
        <f t="shared" si="2"/>
        <v>125</v>
      </c>
      <c r="B151" s="119" t="s">
        <v>188</v>
      </c>
      <c r="C151" s="118" t="s">
        <v>7</v>
      </c>
      <c r="D151" s="118" t="s">
        <v>301</v>
      </c>
      <c r="E151" s="118" t="s">
        <v>309</v>
      </c>
    </row>
    <row r="152" spans="1:5" x14ac:dyDescent="0.2">
      <c r="A152" s="115">
        <f t="shared" si="2"/>
        <v>126</v>
      </c>
      <c r="B152" s="119" t="s">
        <v>217</v>
      </c>
      <c r="C152" s="118" t="s">
        <v>7</v>
      </c>
      <c r="D152" s="118" t="s">
        <v>301</v>
      </c>
      <c r="E152" s="118" t="s">
        <v>310</v>
      </c>
    </row>
    <row r="153" spans="1:5" x14ac:dyDescent="0.2">
      <c r="A153" s="115">
        <f t="shared" si="2"/>
        <v>127</v>
      </c>
      <c r="B153" s="116" t="s">
        <v>51</v>
      </c>
      <c r="C153" s="117" t="s">
        <v>7</v>
      </c>
      <c r="D153" s="117" t="s">
        <v>301</v>
      </c>
      <c r="E153" s="118" t="s">
        <v>302</v>
      </c>
    </row>
    <row r="154" spans="1:5" x14ac:dyDescent="0.2">
      <c r="A154" s="115">
        <f t="shared" si="2"/>
        <v>128</v>
      </c>
      <c r="B154" s="119" t="s">
        <v>150</v>
      </c>
      <c r="C154" s="118" t="s">
        <v>7</v>
      </c>
      <c r="D154" s="118" t="s">
        <v>301</v>
      </c>
      <c r="E154" s="118" t="s">
        <v>306</v>
      </c>
    </row>
    <row r="155" spans="1:5" x14ac:dyDescent="0.2">
      <c r="A155" s="115">
        <f t="shared" si="2"/>
        <v>129</v>
      </c>
      <c r="B155" s="119" t="s">
        <v>120</v>
      </c>
      <c r="C155" s="118" t="s">
        <v>7</v>
      </c>
      <c r="D155" s="118" t="s">
        <v>301</v>
      </c>
      <c r="E155" s="118" t="s">
        <v>304</v>
      </c>
    </row>
    <row r="156" spans="1:5" x14ac:dyDescent="0.2">
      <c r="A156" s="115">
        <f t="shared" ref="A156:A219" si="3">A155+1</f>
        <v>130</v>
      </c>
      <c r="B156" s="116" t="s">
        <v>284</v>
      </c>
      <c r="C156" s="117" t="s">
        <v>7</v>
      </c>
      <c r="D156" s="117" t="s">
        <v>301</v>
      </c>
      <c r="E156" s="118" t="s">
        <v>312</v>
      </c>
    </row>
    <row r="157" spans="1:5" x14ac:dyDescent="0.2">
      <c r="A157" s="115">
        <f t="shared" si="3"/>
        <v>131</v>
      </c>
      <c r="B157" s="116" t="s">
        <v>52</v>
      </c>
      <c r="C157" s="117" t="s">
        <v>7</v>
      </c>
      <c r="D157" s="117" t="s">
        <v>301</v>
      </c>
      <c r="E157" s="118" t="s">
        <v>302</v>
      </c>
    </row>
    <row r="158" spans="1:5" x14ac:dyDescent="0.2">
      <c r="A158" s="115">
        <f t="shared" si="3"/>
        <v>132</v>
      </c>
      <c r="B158" s="119" t="s">
        <v>151</v>
      </c>
      <c r="C158" s="118" t="s">
        <v>7</v>
      </c>
      <c r="D158" s="118" t="s">
        <v>301</v>
      </c>
      <c r="E158" s="118" t="s">
        <v>306</v>
      </c>
    </row>
    <row r="159" spans="1:5" x14ac:dyDescent="0.2">
      <c r="A159" s="115">
        <f t="shared" si="3"/>
        <v>133</v>
      </c>
      <c r="B159" s="116" t="s">
        <v>78</v>
      </c>
      <c r="C159" s="117" t="s">
        <v>7</v>
      </c>
      <c r="D159" s="117" t="s">
        <v>301</v>
      </c>
      <c r="E159" s="118" t="s">
        <v>303</v>
      </c>
    </row>
    <row r="160" spans="1:5" x14ac:dyDescent="0.2">
      <c r="A160" s="115">
        <f t="shared" si="3"/>
        <v>134</v>
      </c>
      <c r="B160" s="116" t="s">
        <v>53</v>
      </c>
      <c r="C160" s="117" t="s">
        <v>7</v>
      </c>
      <c r="D160" s="117" t="s">
        <v>301</v>
      </c>
      <c r="E160" s="118" t="s">
        <v>302</v>
      </c>
    </row>
    <row r="161" spans="1:5" x14ac:dyDescent="0.2">
      <c r="A161" s="115">
        <f t="shared" si="3"/>
        <v>135</v>
      </c>
      <c r="B161" s="116" t="s">
        <v>79</v>
      </c>
      <c r="C161" s="117" t="s">
        <v>7</v>
      </c>
      <c r="D161" s="117" t="s">
        <v>301</v>
      </c>
      <c r="E161" s="118" t="s">
        <v>303</v>
      </c>
    </row>
    <row r="162" spans="1:5" x14ac:dyDescent="0.2">
      <c r="A162" s="115">
        <f t="shared" si="3"/>
        <v>136</v>
      </c>
      <c r="B162" s="119" t="s">
        <v>189</v>
      </c>
      <c r="C162" s="118" t="s">
        <v>7</v>
      </c>
      <c r="D162" s="118" t="s">
        <v>301</v>
      </c>
      <c r="E162" s="118" t="s">
        <v>309</v>
      </c>
    </row>
    <row r="163" spans="1:5" x14ac:dyDescent="0.2">
      <c r="A163" s="115">
        <f t="shared" si="3"/>
        <v>137</v>
      </c>
      <c r="B163" s="116" t="s">
        <v>250</v>
      </c>
      <c r="C163" s="117" t="s">
        <v>7</v>
      </c>
      <c r="D163" s="117" t="s">
        <v>301</v>
      </c>
      <c r="E163" s="118" t="s">
        <v>311</v>
      </c>
    </row>
    <row r="164" spans="1:5" x14ac:dyDescent="0.2">
      <c r="A164" s="115">
        <f t="shared" si="3"/>
        <v>138</v>
      </c>
      <c r="B164" s="116" t="s">
        <v>251</v>
      </c>
      <c r="C164" s="117" t="s">
        <v>7</v>
      </c>
      <c r="D164" s="117" t="s">
        <v>301</v>
      </c>
      <c r="E164" s="118" t="s">
        <v>311</v>
      </c>
    </row>
    <row r="165" spans="1:5" x14ac:dyDescent="0.2">
      <c r="A165" s="115">
        <f t="shared" si="3"/>
        <v>139</v>
      </c>
      <c r="B165" s="116" t="s">
        <v>80</v>
      </c>
      <c r="C165" s="117" t="s">
        <v>7</v>
      </c>
      <c r="D165" s="117" t="s">
        <v>301</v>
      </c>
      <c r="E165" s="118" t="s">
        <v>303</v>
      </c>
    </row>
    <row r="166" spans="1:5" x14ac:dyDescent="0.2">
      <c r="A166" s="115">
        <f t="shared" si="3"/>
        <v>140</v>
      </c>
      <c r="B166" s="119" t="s">
        <v>152</v>
      </c>
      <c r="C166" s="118" t="s">
        <v>7</v>
      </c>
      <c r="D166" s="118" t="s">
        <v>301</v>
      </c>
      <c r="E166" s="118" t="s">
        <v>306</v>
      </c>
    </row>
    <row r="167" spans="1:5" x14ac:dyDescent="0.2">
      <c r="A167" s="115">
        <f t="shared" si="3"/>
        <v>141</v>
      </c>
      <c r="B167" s="116" t="s">
        <v>252</v>
      </c>
      <c r="C167" s="117" t="s">
        <v>7</v>
      </c>
      <c r="D167" s="117" t="s">
        <v>301</v>
      </c>
      <c r="E167" s="118" t="s">
        <v>311</v>
      </c>
    </row>
    <row r="168" spans="1:5" x14ac:dyDescent="0.2">
      <c r="A168" s="115">
        <f t="shared" si="3"/>
        <v>142</v>
      </c>
      <c r="B168" s="119" t="s">
        <v>190</v>
      </c>
      <c r="C168" s="118" t="s">
        <v>7</v>
      </c>
      <c r="D168" s="118" t="s">
        <v>301</v>
      </c>
      <c r="E168" s="118" t="s">
        <v>309</v>
      </c>
    </row>
    <row r="169" spans="1:5" x14ac:dyDescent="0.2">
      <c r="A169" s="115">
        <f t="shared" si="3"/>
        <v>143</v>
      </c>
      <c r="B169" s="119" t="s">
        <v>218</v>
      </c>
      <c r="C169" s="118" t="s">
        <v>7</v>
      </c>
      <c r="D169" s="118" t="s">
        <v>301</v>
      </c>
      <c r="E169" s="118" t="s">
        <v>310</v>
      </c>
    </row>
    <row r="170" spans="1:5" x14ac:dyDescent="0.2">
      <c r="A170" s="115">
        <f t="shared" si="3"/>
        <v>144</v>
      </c>
      <c r="B170" s="116" t="s">
        <v>54</v>
      </c>
      <c r="C170" s="117" t="s">
        <v>7</v>
      </c>
      <c r="D170" s="117" t="s">
        <v>301</v>
      </c>
      <c r="E170" s="118" t="s">
        <v>302</v>
      </c>
    </row>
    <row r="171" spans="1:5" x14ac:dyDescent="0.2">
      <c r="A171" s="115">
        <f t="shared" si="3"/>
        <v>145</v>
      </c>
      <c r="B171" s="119" t="s">
        <v>219</v>
      </c>
      <c r="C171" s="118" t="s">
        <v>7</v>
      </c>
      <c r="D171" s="118" t="s">
        <v>301</v>
      </c>
      <c r="E171" s="118" t="s">
        <v>310</v>
      </c>
    </row>
    <row r="172" spans="1:5" x14ac:dyDescent="0.2">
      <c r="A172" s="115">
        <f t="shared" si="3"/>
        <v>146</v>
      </c>
      <c r="B172" s="116" t="s">
        <v>81</v>
      </c>
      <c r="C172" s="117" t="s">
        <v>7</v>
      </c>
      <c r="D172" s="117" t="s">
        <v>301</v>
      </c>
      <c r="E172" s="118" t="s">
        <v>303</v>
      </c>
    </row>
    <row r="173" spans="1:5" x14ac:dyDescent="0.2">
      <c r="A173" s="115">
        <f t="shared" si="3"/>
        <v>147</v>
      </c>
      <c r="B173" s="116" t="s">
        <v>253</v>
      </c>
      <c r="C173" s="117" t="s">
        <v>7</v>
      </c>
      <c r="D173" s="117" t="s">
        <v>301</v>
      </c>
      <c r="E173" s="118" t="s">
        <v>311</v>
      </c>
    </row>
    <row r="174" spans="1:5" x14ac:dyDescent="0.2">
      <c r="A174" s="115">
        <f t="shared" si="3"/>
        <v>148</v>
      </c>
      <c r="B174" s="116" t="s">
        <v>254</v>
      </c>
      <c r="C174" s="117" t="s">
        <v>7</v>
      </c>
      <c r="D174" s="117" t="s">
        <v>301</v>
      </c>
      <c r="E174" s="118" t="s">
        <v>311</v>
      </c>
    </row>
    <row r="175" spans="1:5" x14ac:dyDescent="0.2">
      <c r="A175" s="115">
        <f t="shared" si="3"/>
        <v>149</v>
      </c>
      <c r="B175" s="119" t="s">
        <v>153</v>
      </c>
      <c r="C175" s="118" t="s">
        <v>7</v>
      </c>
      <c r="D175" s="118" t="s">
        <v>307</v>
      </c>
      <c r="E175" s="118" t="s">
        <v>306</v>
      </c>
    </row>
    <row r="176" spans="1:5" x14ac:dyDescent="0.2">
      <c r="A176" s="115">
        <f t="shared" si="3"/>
        <v>150</v>
      </c>
      <c r="B176" s="116" t="s">
        <v>285</v>
      </c>
      <c r="C176" s="117" t="s">
        <v>7</v>
      </c>
      <c r="D176" s="117" t="s">
        <v>301</v>
      </c>
      <c r="E176" s="118" t="s">
        <v>312</v>
      </c>
    </row>
    <row r="177" spans="1:5" x14ac:dyDescent="0.2">
      <c r="A177" s="115">
        <f t="shared" si="3"/>
        <v>151</v>
      </c>
      <c r="B177" s="116" t="s">
        <v>286</v>
      </c>
      <c r="C177" s="117" t="s">
        <v>7</v>
      </c>
      <c r="D177" s="117" t="s">
        <v>301</v>
      </c>
      <c r="E177" s="118" t="s">
        <v>312</v>
      </c>
    </row>
    <row r="178" spans="1:5" x14ac:dyDescent="0.2">
      <c r="A178" s="115">
        <f t="shared" si="3"/>
        <v>152</v>
      </c>
      <c r="B178" s="119" t="s">
        <v>154</v>
      </c>
      <c r="C178" s="118" t="s">
        <v>8</v>
      </c>
      <c r="D178" s="118" t="s">
        <v>301</v>
      </c>
      <c r="E178" s="118" t="s">
        <v>306</v>
      </c>
    </row>
    <row r="179" spans="1:5" x14ac:dyDescent="0.2">
      <c r="A179" s="115">
        <f t="shared" si="3"/>
        <v>153</v>
      </c>
      <c r="B179" s="116" t="s">
        <v>287</v>
      </c>
      <c r="C179" s="117" t="s">
        <v>8</v>
      </c>
      <c r="D179" s="117" t="s">
        <v>301</v>
      </c>
      <c r="E179" s="118" t="s">
        <v>312</v>
      </c>
    </row>
    <row r="180" spans="1:5" x14ac:dyDescent="0.2">
      <c r="A180" s="115">
        <f t="shared" si="3"/>
        <v>154</v>
      </c>
      <c r="B180" s="116" t="s">
        <v>82</v>
      </c>
      <c r="C180" s="117" t="s">
        <v>7</v>
      </c>
      <c r="D180" s="117" t="s">
        <v>301</v>
      </c>
      <c r="E180" s="118" t="s">
        <v>303</v>
      </c>
    </row>
    <row r="181" spans="1:5" x14ac:dyDescent="0.2">
      <c r="A181" s="115">
        <f t="shared" si="3"/>
        <v>155</v>
      </c>
      <c r="B181" s="119" t="s">
        <v>191</v>
      </c>
      <c r="C181" s="118" t="s">
        <v>8</v>
      </c>
      <c r="D181" s="118" t="s">
        <v>301</v>
      </c>
      <c r="E181" s="118" t="s">
        <v>309</v>
      </c>
    </row>
    <row r="182" spans="1:5" x14ac:dyDescent="0.2">
      <c r="A182" s="115">
        <f t="shared" si="3"/>
        <v>156</v>
      </c>
      <c r="B182" s="116" t="s">
        <v>55</v>
      </c>
      <c r="C182" s="117" t="s">
        <v>8</v>
      </c>
      <c r="D182" s="117" t="s">
        <v>301</v>
      </c>
      <c r="E182" s="118" t="s">
        <v>302</v>
      </c>
    </row>
    <row r="183" spans="1:5" x14ac:dyDescent="0.2">
      <c r="A183" s="115">
        <f t="shared" si="3"/>
        <v>157</v>
      </c>
      <c r="B183" s="119" t="s">
        <v>220</v>
      </c>
      <c r="C183" s="118" t="s">
        <v>8</v>
      </c>
      <c r="D183" s="118" t="s">
        <v>301</v>
      </c>
      <c r="E183" s="118" t="s">
        <v>310</v>
      </c>
    </row>
    <row r="184" spans="1:5" x14ac:dyDescent="0.2">
      <c r="A184" s="115">
        <f t="shared" si="3"/>
        <v>158</v>
      </c>
      <c r="B184" s="116" t="s">
        <v>288</v>
      </c>
      <c r="C184" s="117" t="s">
        <v>8</v>
      </c>
      <c r="D184" s="117" t="s">
        <v>301</v>
      </c>
      <c r="E184" s="118" t="s">
        <v>312</v>
      </c>
    </row>
    <row r="185" spans="1:5" x14ac:dyDescent="0.2">
      <c r="A185" s="115">
        <f t="shared" si="3"/>
        <v>159</v>
      </c>
      <c r="B185" s="116" t="s">
        <v>255</v>
      </c>
      <c r="C185" s="117" t="s">
        <v>8</v>
      </c>
      <c r="D185" s="117" t="s">
        <v>301</v>
      </c>
      <c r="E185" s="118" t="s">
        <v>311</v>
      </c>
    </row>
    <row r="186" spans="1:5" x14ac:dyDescent="0.2">
      <c r="A186" s="115">
        <f t="shared" si="3"/>
        <v>160</v>
      </c>
      <c r="B186" s="116" t="s">
        <v>256</v>
      </c>
      <c r="C186" s="117" t="s">
        <v>8</v>
      </c>
      <c r="D186" s="117" t="s">
        <v>301</v>
      </c>
      <c r="E186" s="118" t="s">
        <v>311</v>
      </c>
    </row>
    <row r="187" spans="1:5" x14ac:dyDescent="0.2">
      <c r="A187" s="115">
        <f t="shared" si="3"/>
        <v>161</v>
      </c>
      <c r="B187" s="116" t="s">
        <v>83</v>
      </c>
      <c r="C187" s="117" t="s">
        <v>7</v>
      </c>
      <c r="D187" s="117" t="s">
        <v>301</v>
      </c>
      <c r="E187" s="118" t="s">
        <v>303</v>
      </c>
    </row>
    <row r="188" spans="1:5" x14ac:dyDescent="0.2">
      <c r="A188" s="115">
        <f t="shared" si="3"/>
        <v>162</v>
      </c>
      <c r="B188" s="116" t="s">
        <v>257</v>
      </c>
      <c r="C188" s="117" t="s">
        <v>7</v>
      </c>
      <c r="D188" s="117" t="s">
        <v>301</v>
      </c>
      <c r="E188" s="118" t="s">
        <v>311</v>
      </c>
    </row>
    <row r="189" spans="1:5" x14ac:dyDescent="0.2">
      <c r="A189" s="115">
        <f t="shared" si="3"/>
        <v>163</v>
      </c>
      <c r="B189" s="119" t="s">
        <v>155</v>
      </c>
      <c r="C189" s="118" t="s">
        <v>7</v>
      </c>
      <c r="D189" s="118" t="s">
        <v>301</v>
      </c>
      <c r="E189" s="118" t="s">
        <v>306</v>
      </c>
    </row>
    <row r="190" spans="1:5" x14ac:dyDescent="0.2">
      <c r="A190" s="115">
        <f t="shared" si="3"/>
        <v>164</v>
      </c>
      <c r="B190" s="116" t="s">
        <v>84</v>
      </c>
      <c r="C190" s="117" t="s">
        <v>7</v>
      </c>
      <c r="D190" s="117" t="s">
        <v>301</v>
      </c>
      <c r="E190" s="118" t="s">
        <v>303</v>
      </c>
    </row>
    <row r="191" spans="1:5" x14ac:dyDescent="0.2">
      <c r="A191" s="115">
        <f t="shared" si="3"/>
        <v>165</v>
      </c>
      <c r="B191" s="119" t="s">
        <v>221</v>
      </c>
      <c r="C191" s="118" t="s">
        <v>8</v>
      </c>
      <c r="D191" s="118" t="s">
        <v>301</v>
      </c>
      <c r="E191" s="118" t="s">
        <v>310</v>
      </c>
    </row>
    <row r="192" spans="1:5" x14ac:dyDescent="0.2">
      <c r="A192" s="115">
        <f t="shared" si="3"/>
        <v>166</v>
      </c>
      <c r="B192" s="119" t="s">
        <v>121</v>
      </c>
      <c r="C192" s="118" t="s">
        <v>8</v>
      </c>
      <c r="D192" s="118" t="s">
        <v>301</v>
      </c>
      <c r="E192" s="118" t="s">
        <v>304</v>
      </c>
    </row>
    <row r="193" spans="1:5" x14ac:dyDescent="0.2">
      <c r="A193" s="115">
        <f t="shared" si="3"/>
        <v>167</v>
      </c>
      <c r="B193" s="116" t="s">
        <v>289</v>
      </c>
      <c r="C193" s="117" t="s">
        <v>7</v>
      </c>
      <c r="D193" s="117" t="s">
        <v>301</v>
      </c>
      <c r="E193" s="118" t="s">
        <v>312</v>
      </c>
    </row>
    <row r="194" spans="1:5" x14ac:dyDescent="0.2">
      <c r="A194" s="115">
        <f t="shared" si="3"/>
        <v>168</v>
      </c>
      <c r="B194" s="119" t="s">
        <v>156</v>
      </c>
      <c r="C194" s="118" t="s">
        <v>7</v>
      </c>
      <c r="D194" s="118" t="s">
        <v>301</v>
      </c>
      <c r="E194" s="118" t="s">
        <v>306</v>
      </c>
    </row>
    <row r="195" spans="1:5" x14ac:dyDescent="0.2">
      <c r="A195" s="115">
        <f t="shared" si="3"/>
        <v>169</v>
      </c>
      <c r="B195" s="119" t="s">
        <v>157</v>
      </c>
      <c r="C195" s="118" t="s">
        <v>8</v>
      </c>
      <c r="D195" s="118" t="s">
        <v>301</v>
      </c>
      <c r="E195" s="118" t="s">
        <v>306</v>
      </c>
    </row>
    <row r="196" spans="1:5" x14ac:dyDescent="0.2">
      <c r="A196" s="115">
        <f t="shared" si="3"/>
        <v>170</v>
      </c>
      <c r="B196" s="119" t="s">
        <v>158</v>
      </c>
      <c r="C196" s="118" t="s">
        <v>8</v>
      </c>
      <c r="D196" s="118" t="s">
        <v>308</v>
      </c>
      <c r="E196" s="118" t="s">
        <v>306</v>
      </c>
    </row>
    <row r="197" spans="1:5" x14ac:dyDescent="0.2">
      <c r="A197" s="115">
        <f t="shared" si="3"/>
        <v>171</v>
      </c>
      <c r="B197" s="119" t="s">
        <v>122</v>
      </c>
      <c r="C197" s="118" t="s">
        <v>7</v>
      </c>
      <c r="D197" s="118" t="s">
        <v>305</v>
      </c>
      <c r="E197" s="118" t="s">
        <v>304</v>
      </c>
    </row>
    <row r="198" spans="1:5" x14ac:dyDescent="0.2">
      <c r="A198" s="115">
        <f t="shared" si="3"/>
        <v>172</v>
      </c>
      <c r="B198" s="119" t="s">
        <v>192</v>
      </c>
      <c r="C198" s="118" t="s">
        <v>7</v>
      </c>
      <c r="D198" s="118" t="s">
        <v>301</v>
      </c>
      <c r="E198" s="118" t="s">
        <v>304</v>
      </c>
    </row>
    <row r="199" spans="1:5" x14ac:dyDescent="0.2">
      <c r="A199" s="115">
        <f t="shared" si="3"/>
        <v>173</v>
      </c>
      <c r="B199" s="119" t="s">
        <v>193</v>
      </c>
      <c r="C199" s="118" t="s">
        <v>8</v>
      </c>
      <c r="D199" s="118" t="s">
        <v>301</v>
      </c>
      <c r="E199" s="118" t="s">
        <v>309</v>
      </c>
    </row>
    <row r="200" spans="1:5" x14ac:dyDescent="0.2">
      <c r="A200" s="115">
        <f t="shared" si="3"/>
        <v>174</v>
      </c>
      <c r="B200" s="119" t="s">
        <v>123</v>
      </c>
      <c r="C200" s="118" t="s">
        <v>8</v>
      </c>
      <c r="D200" s="118" t="s">
        <v>301</v>
      </c>
      <c r="E200" s="118" t="s">
        <v>304</v>
      </c>
    </row>
    <row r="201" spans="1:5" x14ac:dyDescent="0.2">
      <c r="A201" s="115">
        <f t="shared" si="3"/>
        <v>175</v>
      </c>
      <c r="B201" s="116" t="s">
        <v>258</v>
      </c>
      <c r="C201" s="117" t="s">
        <v>8</v>
      </c>
      <c r="D201" s="117" t="s">
        <v>301</v>
      </c>
      <c r="E201" s="118" t="s">
        <v>311</v>
      </c>
    </row>
    <row r="202" spans="1:5" x14ac:dyDescent="0.2">
      <c r="A202" s="115">
        <f t="shared" si="3"/>
        <v>176</v>
      </c>
      <c r="B202" s="116" t="s">
        <v>290</v>
      </c>
      <c r="C202" s="117" t="s">
        <v>8</v>
      </c>
      <c r="D202" s="117" t="s">
        <v>301</v>
      </c>
      <c r="E202" s="118" t="s">
        <v>312</v>
      </c>
    </row>
    <row r="203" spans="1:5" x14ac:dyDescent="0.2">
      <c r="A203" s="115">
        <f t="shared" si="3"/>
        <v>177</v>
      </c>
      <c r="B203" s="119" t="s">
        <v>222</v>
      </c>
      <c r="C203" s="118" t="s">
        <v>7</v>
      </c>
      <c r="D203" s="118" t="s">
        <v>301</v>
      </c>
      <c r="E203" s="118" t="s">
        <v>310</v>
      </c>
    </row>
    <row r="204" spans="1:5" x14ac:dyDescent="0.2">
      <c r="A204" s="115">
        <f t="shared" si="3"/>
        <v>178</v>
      </c>
      <c r="B204" s="116" t="s">
        <v>291</v>
      </c>
      <c r="C204" s="117" t="s">
        <v>8</v>
      </c>
      <c r="D204" s="117" t="s">
        <v>301</v>
      </c>
      <c r="E204" s="118" t="s">
        <v>312</v>
      </c>
    </row>
    <row r="205" spans="1:5" x14ac:dyDescent="0.2">
      <c r="A205" s="115">
        <f t="shared" si="3"/>
        <v>179</v>
      </c>
      <c r="B205" s="116" t="s">
        <v>85</v>
      </c>
      <c r="C205" s="117" t="s">
        <v>8</v>
      </c>
      <c r="D205" s="117" t="s">
        <v>301</v>
      </c>
      <c r="E205" s="118" t="s">
        <v>303</v>
      </c>
    </row>
    <row r="206" spans="1:5" x14ac:dyDescent="0.2">
      <c r="A206" s="115">
        <f t="shared" si="3"/>
        <v>180</v>
      </c>
      <c r="B206" s="119" t="s">
        <v>223</v>
      </c>
      <c r="C206" s="118" t="s">
        <v>8</v>
      </c>
      <c r="D206" s="118" t="s">
        <v>301</v>
      </c>
      <c r="E206" s="118" t="s">
        <v>310</v>
      </c>
    </row>
    <row r="207" spans="1:5" x14ac:dyDescent="0.2">
      <c r="A207" s="115">
        <f t="shared" si="3"/>
        <v>181</v>
      </c>
      <c r="B207" s="116" t="s">
        <v>56</v>
      </c>
      <c r="C207" s="117" t="s">
        <v>8</v>
      </c>
      <c r="D207" s="117" t="s">
        <v>301</v>
      </c>
      <c r="E207" s="118" t="s">
        <v>302</v>
      </c>
    </row>
    <row r="208" spans="1:5" x14ac:dyDescent="0.2">
      <c r="A208" s="115">
        <f t="shared" si="3"/>
        <v>182</v>
      </c>
      <c r="B208" s="119" t="s">
        <v>224</v>
      </c>
      <c r="C208" s="118" t="s">
        <v>8</v>
      </c>
      <c r="D208" s="118" t="s">
        <v>301</v>
      </c>
      <c r="E208" s="118" t="s">
        <v>310</v>
      </c>
    </row>
    <row r="209" spans="1:5" x14ac:dyDescent="0.2">
      <c r="A209" s="115">
        <f t="shared" si="3"/>
        <v>183</v>
      </c>
      <c r="B209" s="116" t="s">
        <v>86</v>
      </c>
      <c r="C209" s="117" t="s">
        <v>8</v>
      </c>
      <c r="D209" s="117" t="s">
        <v>301</v>
      </c>
      <c r="E209" s="118" t="s">
        <v>303</v>
      </c>
    </row>
    <row r="210" spans="1:5" x14ac:dyDescent="0.2">
      <c r="A210" s="115">
        <f t="shared" si="3"/>
        <v>184</v>
      </c>
      <c r="B210" s="116" t="s">
        <v>259</v>
      </c>
      <c r="C210" s="117" t="s">
        <v>7</v>
      </c>
      <c r="D210" s="117" t="s">
        <v>301</v>
      </c>
      <c r="E210" s="118" t="s">
        <v>311</v>
      </c>
    </row>
    <row r="211" spans="1:5" x14ac:dyDescent="0.2">
      <c r="A211" s="115">
        <f t="shared" si="3"/>
        <v>185</v>
      </c>
      <c r="B211" s="119" t="s">
        <v>225</v>
      </c>
      <c r="C211" s="118" t="s">
        <v>7</v>
      </c>
      <c r="D211" s="118" t="s">
        <v>301</v>
      </c>
      <c r="E211" s="118" t="s">
        <v>310</v>
      </c>
    </row>
    <row r="212" spans="1:5" x14ac:dyDescent="0.2">
      <c r="A212" s="115">
        <f t="shared" si="3"/>
        <v>186</v>
      </c>
      <c r="B212" s="116" t="s">
        <v>292</v>
      </c>
      <c r="C212" s="117" t="s">
        <v>7</v>
      </c>
      <c r="D212" s="117" t="s">
        <v>301</v>
      </c>
      <c r="E212" s="118" t="s">
        <v>312</v>
      </c>
    </row>
    <row r="213" spans="1:5" x14ac:dyDescent="0.2">
      <c r="A213" s="115">
        <f t="shared" si="3"/>
        <v>187</v>
      </c>
      <c r="B213" s="119" t="s">
        <v>159</v>
      </c>
      <c r="C213" s="118" t="s">
        <v>7</v>
      </c>
      <c r="D213" s="118" t="s">
        <v>307</v>
      </c>
      <c r="E213" s="118" t="s">
        <v>306</v>
      </c>
    </row>
    <row r="214" spans="1:5" x14ac:dyDescent="0.2">
      <c r="A214" s="115">
        <f t="shared" si="3"/>
        <v>188</v>
      </c>
      <c r="B214" s="116" t="s">
        <v>57</v>
      </c>
      <c r="C214" s="117" t="s">
        <v>7</v>
      </c>
      <c r="D214" s="117" t="s">
        <v>301</v>
      </c>
      <c r="E214" s="118" t="s">
        <v>302</v>
      </c>
    </row>
    <row r="215" spans="1:5" x14ac:dyDescent="0.2">
      <c r="A215" s="115">
        <f t="shared" si="3"/>
        <v>189</v>
      </c>
      <c r="B215" s="119" t="s">
        <v>194</v>
      </c>
      <c r="C215" s="118" t="s">
        <v>7</v>
      </c>
      <c r="D215" s="118" t="s">
        <v>301</v>
      </c>
      <c r="E215" s="118" t="s">
        <v>309</v>
      </c>
    </row>
    <row r="216" spans="1:5" x14ac:dyDescent="0.2">
      <c r="A216" s="115">
        <f t="shared" si="3"/>
        <v>190</v>
      </c>
      <c r="B216" s="119" t="s">
        <v>226</v>
      </c>
      <c r="C216" s="118" t="s">
        <v>7</v>
      </c>
      <c r="D216" s="118" t="s">
        <v>301</v>
      </c>
      <c r="E216" s="118" t="s">
        <v>310</v>
      </c>
    </row>
    <row r="217" spans="1:5" x14ac:dyDescent="0.2">
      <c r="A217" s="115">
        <f t="shared" si="3"/>
        <v>191</v>
      </c>
      <c r="B217" s="116" t="s">
        <v>293</v>
      </c>
      <c r="C217" s="117" t="s">
        <v>7</v>
      </c>
      <c r="D217" s="117" t="s">
        <v>301</v>
      </c>
      <c r="E217" s="118" t="s">
        <v>312</v>
      </c>
    </row>
    <row r="218" spans="1:5" x14ac:dyDescent="0.2">
      <c r="A218" s="115">
        <f t="shared" si="3"/>
        <v>192</v>
      </c>
      <c r="B218" s="116" t="s">
        <v>260</v>
      </c>
      <c r="C218" s="117" t="s">
        <v>7</v>
      </c>
      <c r="D218" s="117" t="s">
        <v>301</v>
      </c>
      <c r="E218" s="118" t="s">
        <v>311</v>
      </c>
    </row>
    <row r="219" spans="1:5" x14ac:dyDescent="0.2">
      <c r="A219" s="115">
        <f t="shared" si="3"/>
        <v>193</v>
      </c>
      <c r="B219" s="119" t="s">
        <v>160</v>
      </c>
      <c r="C219" s="118" t="s">
        <v>7</v>
      </c>
      <c r="D219" s="118" t="s">
        <v>301</v>
      </c>
      <c r="E219" s="118" t="s">
        <v>306</v>
      </c>
    </row>
    <row r="220" spans="1:5" x14ac:dyDescent="0.2">
      <c r="A220" s="115">
        <f t="shared" ref="A220:A269" si="4">A219+1</f>
        <v>194</v>
      </c>
      <c r="B220" s="116" t="s">
        <v>294</v>
      </c>
      <c r="C220" s="117" t="s">
        <v>7</v>
      </c>
      <c r="D220" s="117" t="s">
        <v>301</v>
      </c>
      <c r="E220" s="118" t="s">
        <v>312</v>
      </c>
    </row>
    <row r="221" spans="1:5" x14ac:dyDescent="0.2">
      <c r="A221" s="115">
        <f t="shared" si="4"/>
        <v>195</v>
      </c>
      <c r="B221" s="116" t="s">
        <v>87</v>
      </c>
      <c r="C221" s="117" t="s">
        <v>7</v>
      </c>
      <c r="D221" s="117" t="s">
        <v>301</v>
      </c>
      <c r="E221" s="118" t="s">
        <v>303</v>
      </c>
    </row>
    <row r="222" spans="1:5" x14ac:dyDescent="0.2">
      <c r="A222" s="115">
        <f t="shared" si="4"/>
        <v>196</v>
      </c>
      <c r="B222" s="116" t="s">
        <v>261</v>
      </c>
      <c r="C222" s="117" t="s">
        <v>7</v>
      </c>
      <c r="D222" s="117" t="s">
        <v>301</v>
      </c>
      <c r="E222" s="118" t="s">
        <v>311</v>
      </c>
    </row>
    <row r="223" spans="1:5" x14ac:dyDescent="0.2">
      <c r="A223" s="115">
        <f t="shared" si="4"/>
        <v>197</v>
      </c>
      <c r="B223" s="116" t="s">
        <v>58</v>
      </c>
      <c r="C223" s="117" t="s">
        <v>8</v>
      </c>
      <c r="D223" s="117" t="s">
        <v>301</v>
      </c>
      <c r="E223" s="118" t="s">
        <v>302</v>
      </c>
    </row>
    <row r="224" spans="1:5" x14ac:dyDescent="0.2">
      <c r="A224" s="115">
        <f t="shared" si="4"/>
        <v>198</v>
      </c>
      <c r="B224" s="116" t="s">
        <v>88</v>
      </c>
      <c r="C224" s="117" t="s">
        <v>7</v>
      </c>
      <c r="D224" s="117" t="s">
        <v>301</v>
      </c>
      <c r="E224" s="118" t="s">
        <v>303</v>
      </c>
    </row>
    <row r="225" spans="1:5" x14ac:dyDescent="0.2">
      <c r="A225" s="115">
        <f t="shared" si="4"/>
        <v>199</v>
      </c>
      <c r="B225" s="119" t="s">
        <v>227</v>
      </c>
      <c r="C225" s="118" t="s">
        <v>7</v>
      </c>
      <c r="D225" s="118" t="s">
        <v>301</v>
      </c>
      <c r="E225" s="118" t="s">
        <v>310</v>
      </c>
    </row>
    <row r="226" spans="1:5" x14ac:dyDescent="0.2">
      <c r="A226" s="115">
        <f t="shared" si="4"/>
        <v>200</v>
      </c>
      <c r="B226" s="119" t="s">
        <v>195</v>
      </c>
      <c r="C226" s="118" t="s">
        <v>7</v>
      </c>
      <c r="D226" s="118" t="s">
        <v>301</v>
      </c>
      <c r="E226" s="118" t="s">
        <v>309</v>
      </c>
    </row>
    <row r="227" spans="1:5" x14ac:dyDescent="0.2">
      <c r="A227" s="115">
        <f t="shared" si="4"/>
        <v>201</v>
      </c>
      <c r="B227" s="116" t="s">
        <v>228</v>
      </c>
      <c r="C227" s="117" t="s">
        <v>7</v>
      </c>
      <c r="D227" s="117" t="s">
        <v>301</v>
      </c>
      <c r="E227" s="118" t="s">
        <v>310</v>
      </c>
    </row>
    <row r="228" spans="1:5" x14ac:dyDescent="0.2">
      <c r="A228" s="115">
        <f t="shared" si="4"/>
        <v>202</v>
      </c>
      <c r="B228" s="116" t="s">
        <v>59</v>
      </c>
      <c r="C228" s="117" t="s">
        <v>8</v>
      </c>
      <c r="D228" s="117" t="s">
        <v>301</v>
      </c>
      <c r="E228" s="118" t="s">
        <v>302</v>
      </c>
    </row>
    <row r="229" spans="1:5" x14ac:dyDescent="0.2">
      <c r="A229" s="115">
        <f t="shared" si="4"/>
        <v>203</v>
      </c>
      <c r="B229" s="116" t="s">
        <v>229</v>
      </c>
      <c r="C229" s="117" t="s">
        <v>7</v>
      </c>
      <c r="D229" s="117" t="s">
        <v>301</v>
      </c>
      <c r="E229" s="118" t="s">
        <v>310</v>
      </c>
    </row>
    <row r="230" spans="1:5" x14ac:dyDescent="0.2">
      <c r="A230" s="115">
        <f t="shared" si="4"/>
        <v>204</v>
      </c>
      <c r="B230" s="116" t="s">
        <v>89</v>
      </c>
      <c r="C230" s="117" t="s">
        <v>7</v>
      </c>
      <c r="D230" s="117" t="s">
        <v>301</v>
      </c>
      <c r="E230" s="118" t="s">
        <v>303</v>
      </c>
    </row>
    <row r="231" spans="1:5" x14ac:dyDescent="0.2">
      <c r="A231" s="115">
        <f t="shared" si="4"/>
        <v>205</v>
      </c>
      <c r="B231" s="119" t="s">
        <v>161</v>
      </c>
      <c r="C231" s="118" t="s">
        <v>7</v>
      </c>
      <c r="D231" s="118" t="s">
        <v>301</v>
      </c>
      <c r="E231" s="118" t="s">
        <v>306</v>
      </c>
    </row>
    <row r="232" spans="1:5" x14ac:dyDescent="0.2">
      <c r="A232" s="115">
        <f t="shared" si="4"/>
        <v>206</v>
      </c>
      <c r="B232" s="119" t="s">
        <v>196</v>
      </c>
      <c r="C232" s="118" t="s">
        <v>7</v>
      </c>
      <c r="D232" s="118" t="s">
        <v>301</v>
      </c>
      <c r="E232" s="118" t="s">
        <v>304</v>
      </c>
    </row>
    <row r="233" spans="1:5" x14ac:dyDescent="0.2">
      <c r="A233" s="115">
        <f t="shared" si="4"/>
        <v>207</v>
      </c>
      <c r="B233" s="116" t="s">
        <v>90</v>
      </c>
      <c r="C233" s="117" t="s">
        <v>7</v>
      </c>
      <c r="D233" s="117" t="s">
        <v>301</v>
      </c>
      <c r="E233" s="118" t="s">
        <v>303</v>
      </c>
    </row>
    <row r="234" spans="1:5" x14ac:dyDescent="0.2">
      <c r="A234" s="115">
        <f t="shared" si="4"/>
        <v>208</v>
      </c>
      <c r="B234" s="119" t="s">
        <v>197</v>
      </c>
      <c r="C234" s="118" t="s">
        <v>7</v>
      </c>
      <c r="D234" s="118" t="s">
        <v>301</v>
      </c>
      <c r="E234" s="118" t="s">
        <v>309</v>
      </c>
    </row>
    <row r="235" spans="1:5" x14ac:dyDescent="0.2">
      <c r="A235" s="115">
        <f t="shared" si="4"/>
        <v>209</v>
      </c>
      <c r="B235" s="116" t="s">
        <v>60</v>
      </c>
      <c r="C235" s="117" t="s">
        <v>7</v>
      </c>
      <c r="D235" s="117" t="s">
        <v>301</v>
      </c>
      <c r="E235" s="118" t="s">
        <v>302</v>
      </c>
    </row>
    <row r="236" spans="1:5" x14ac:dyDescent="0.2">
      <c r="A236" s="115">
        <f t="shared" si="4"/>
        <v>210</v>
      </c>
      <c r="B236" s="119" t="s">
        <v>124</v>
      </c>
      <c r="C236" s="118" t="s">
        <v>8</v>
      </c>
      <c r="D236" s="118" t="s">
        <v>301</v>
      </c>
      <c r="E236" s="118" t="s">
        <v>304</v>
      </c>
    </row>
    <row r="237" spans="1:5" x14ac:dyDescent="0.2">
      <c r="A237" s="115">
        <f t="shared" si="4"/>
        <v>211</v>
      </c>
      <c r="B237" s="116" t="s">
        <v>230</v>
      </c>
      <c r="C237" s="117" t="s">
        <v>7</v>
      </c>
      <c r="D237" s="117" t="s">
        <v>301</v>
      </c>
      <c r="E237" s="118" t="s">
        <v>310</v>
      </c>
    </row>
    <row r="238" spans="1:5" x14ac:dyDescent="0.2">
      <c r="A238" s="115">
        <f t="shared" si="4"/>
        <v>212</v>
      </c>
      <c r="B238" s="119" t="s">
        <v>125</v>
      </c>
      <c r="C238" s="118" t="s">
        <v>7</v>
      </c>
      <c r="D238" s="118" t="s">
        <v>305</v>
      </c>
      <c r="E238" s="118" t="s">
        <v>304</v>
      </c>
    </row>
    <row r="239" spans="1:5" x14ac:dyDescent="0.2">
      <c r="A239" s="115">
        <f t="shared" si="4"/>
        <v>213</v>
      </c>
      <c r="B239" s="119" t="s">
        <v>126</v>
      </c>
      <c r="C239" s="118" t="s">
        <v>7</v>
      </c>
      <c r="D239" s="118" t="s">
        <v>305</v>
      </c>
      <c r="E239" s="118" t="s">
        <v>309</v>
      </c>
    </row>
    <row r="240" spans="1:5" x14ac:dyDescent="0.2">
      <c r="A240" s="115">
        <f t="shared" si="4"/>
        <v>214</v>
      </c>
      <c r="B240" s="116" t="s">
        <v>262</v>
      </c>
      <c r="C240" s="117" t="s">
        <v>8</v>
      </c>
      <c r="D240" s="117" t="s">
        <v>301</v>
      </c>
      <c r="E240" s="118" t="s">
        <v>311</v>
      </c>
    </row>
    <row r="241" spans="1:5" x14ac:dyDescent="0.2">
      <c r="A241" s="115">
        <f t="shared" si="4"/>
        <v>215</v>
      </c>
      <c r="B241" s="119" t="s">
        <v>162</v>
      </c>
      <c r="C241" s="118" t="s">
        <v>7</v>
      </c>
      <c r="D241" s="118" t="s">
        <v>307</v>
      </c>
      <c r="E241" s="118" t="s">
        <v>306</v>
      </c>
    </row>
    <row r="242" spans="1:5" x14ac:dyDescent="0.2">
      <c r="A242" s="115">
        <f t="shared" si="4"/>
        <v>216</v>
      </c>
      <c r="B242" s="119" t="s">
        <v>127</v>
      </c>
      <c r="C242" s="118" t="s">
        <v>7</v>
      </c>
      <c r="D242" s="118" t="s">
        <v>301</v>
      </c>
      <c r="E242" s="118" t="s">
        <v>304</v>
      </c>
    </row>
    <row r="243" spans="1:5" x14ac:dyDescent="0.2">
      <c r="A243" s="115">
        <f t="shared" si="4"/>
        <v>217</v>
      </c>
      <c r="B243" s="116" t="s">
        <v>263</v>
      </c>
      <c r="C243" s="117" t="s">
        <v>8</v>
      </c>
      <c r="D243" s="117" t="s">
        <v>301</v>
      </c>
      <c r="E243" s="118" t="s">
        <v>311</v>
      </c>
    </row>
    <row r="244" spans="1:5" x14ac:dyDescent="0.2">
      <c r="A244" s="115">
        <f t="shared" si="4"/>
        <v>218</v>
      </c>
      <c r="B244" s="116" t="s">
        <v>91</v>
      </c>
      <c r="C244" s="117" t="s">
        <v>8</v>
      </c>
      <c r="D244" s="117" t="s">
        <v>301</v>
      </c>
      <c r="E244" s="118" t="s">
        <v>303</v>
      </c>
    </row>
    <row r="245" spans="1:5" x14ac:dyDescent="0.2">
      <c r="A245" s="115">
        <f t="shared" si="4"/>
        <v>219</v>
      </c>
      <c r="B245" s="119" t="s">
        <v>198</v>
      </c>
      <c r="C245" s="118" t="s">
        <v>8</v>
      </c>
      <c r="D245" s="118" t="s">
        <v>301</v>
      </c>
      <c r="E245" s="118" t="s">
        <v>309</v>
      </c>
    </row>
    <row r="246" spans="1:5" x14ac:dyDescent="0.2">
      <c r="A246" s="115">
        <f t="shared" si="4"/>
        <v>220</v>
      </c>
      <c r="B246" s="116" t="s">
        <v>231</v>
      </c>
      <c r="C246" s="117" t="s">
        <v>8</v>
      </c>
      <c r="D246" s="117" t="s">
        <v>301</v>
      </c>
      <c r="E246" s="118" t="s">
        <v>310</v>
      </c>
    </row>
    <row r="247" spans="1:5" x14ac:dyDescent="0.2">
      <c r="A247" s="115">
        <f t="shared" si="4"/>
        <v>221</v>
      </c>
      <c r="B247" s="119" t="s">
        <v>128</v>
      </c>
      <c r="C247" s="118" t="s">
        <v>8</v>
      </c>
      <c r="D247" s="118" t="s">
        <v>301</v>
      </c>
      <c r="E247" s="118" t="s">
        <v>304</v>
      </c>
    </row>
    <row r="248" spans="1:5" x14ac:dyDescent="0.2">
      <c r="A248" s="115">
        <f t="shared" si="4"/>
        <v>222</v>
      </c>
      <c r="B248" s="116" t="s">
        <v>92</v>
      </c>
      <c r="C248" s="117" t="s">
        <v>8</v>
      </c>
      <c r="D248" s="117" t="s">
        <v>301</v>
      </c>
      <c r="E248" s="118" t="s">
        <v>303</v>
      </c>
    </row>
    <row r="249" spans="1:5" x14ac:dyDescent="0.2">
      <c r="A249" s="115">
        <f t="shared" si="4"/>
        <v>223</v>
      </c>
      <c r="B249" s="116" t="s">
        <v>264</v>
      </c>
      <c r="C249" s="117" t="s">
        <v>8</v>
      </c>
      <c r="D249" s="117" t="s">
        <v>301</v>
      </c>
      <c r="E249" s="118" t="s">
        <v>311</v>
      </c>
    </row>
    <row r="250" spans="1:5" x14ac:dyDescent="0.2">
      <c r="A250" s="115">
        <f t="shared" si="4"/>
        <v>224</v>
      </c>
      <c r="B250" s="116" t="s">
        <v>61</v>
      </c>
      <c r="C250" s="117" t="s">
        <v>7</v>
      </c>
      <c r="D250" s="117" t="s">
        <v>301</v>
      </c>
      <c r="E250" s="118" t="s">
        <v>302</v>
      </c>
    </row>
    <row r="251" spans="1:5" x14ac:dyDescent="0.2">
      <c r="A251" s="115">
        <f t="shared" si="4"/>
        <v>225</v>
      </c>
      <c r="B251" s="119" t="s">
        <v>199</v>
      </c>
      <c r="C251" s="118" t="s">
        <v>7</v>
      </c>
      <c r="D251" s="118" t="s">
        <v>301</v>
      </c>
      <c r="E251" s="118" t="s">
        <v>304</v>
      </c>
    </row>
    <row r="252" spans="1:5" x14ac:dyDescent="0.2">
      <c r="A252" s="115">
        <f t="shared" si="4"/>
        <v>226</v>
      </c>
      <c r="B252" s="119" t="s">
        <v>129</v>
      </c>
      <c r="C252" s="118" t="s">
        <v>8</v>
      </c>
      <c r="D252" s="118" t="s">
        <v>301</v>
      </c>
      <c r="E252" s="118" t="s">
        <v>304</v>
      </c>
    </row>
    <row r="253" spans="1:5" x14ac:dyDescent="0.2">
      <c r="A253" s="115">
        <f t="shared" si="4"/>
        <v>227</v>
      </c>
      <c r="B253" s="116" t="s">
        <v>295</v>
      </c>
      <c r="C253" s="117" t="s">
        <v>8</v>
      </c>
      <c r="D253" s="117" t="s">
        <v>301</v>
      </c>
      <c r="E253" s="118" t="s">
        <v>312</v>
      </c>
    </row>
    <row r="254" spans="1:5" x14ac:dyDescent="0.2">
      <c r="A254" s="115">
        <f t="shared" si="4"/>
        <v>228</v>
      </c>
      <c r="B254" s="116" t="s">
        <v>93</v>
      </c>
      <c r="C254" s="117" t="s">
        <v>7</v>
      </c>
      <c r="D254" s="117" t="s">
        <v>301</v>
      </c>
      <c r="E254" s="118" t="s">
        <v>303</v>
      </c>
    </row>
    <row r="255" spans="1:5" x14ac:dyDescent="0.2">
      <c r="A255" s="115">
        <f t="shared" si="4"/>
        <v>229</v>
      </c>
      <c r="B255" s="116" t="s">
        <v>232</v>
      </c>
      <c r="C255" s="117" t="s">
        <v>7</v>
      </c>
      <c r="D255" s="117" t="s">
        <v>301</v>
      </c>
      <c r="E255" s="118" t="s">
        <v>310</v>
      </c>
    </row>
    <row r="256" spans="1:5" x14ac:dyDescent="0.2">
      <c r="A256" s="115">
        <f t="shared" si="4"/>
        <v>230</v>
      </c>
      <c r="B256" s="116" t="s">
        <v>94</v>
      </c>
      <c r="C256" s="117" t="s">
        <v>8</v>
      </c>
      <c r="D256" s="117" t="s">
        <v>301</v>
      </c>
      <c r="E256" s="118" t="s">
        <v>303</v>
      </c>
    </row>
    <row r="257" spans="1:5" x14ac:dyDescent="0.2">
      <c r="A257" s="115">
        <f t="shared" si="4"/>
        <v>231</v>
      </c>
      <c r="B257" s="116" t="s">
        <v>62</v>
      </c>
      <c r="C257" s="117" t="s">
        <v>8</v>
      </c>
      <c r="D257" s="117" t="s">
        <v>301</v>
      </c>
      <c r="E257" s="118" t="s">
        <v>302</v>
      </c>
    </row>
    <row r="258" spans="1:5" x14ac:dyDescent="0.2">
      <c r="A258" s="115">
        <f t="shared" si="4"/>
        <v>232</v>
      </c>
      <c r="B258" s="119" t="s">
        <v>163</v>
      </c>
      <c r="C258" s="118" t="s">
        <v>8</v>
      </c>
      <c r="D258" s="118" t="s">
        <v>301</v>
      </c>
      <c r="E258" s="118" t="s">
        <v>306</v>
      </c>
    </row>
    <row r="259" spans="1:5" x14ac:dyDescent="0.2">
      <c r="A259" s="115">
        <f t="shared" si="4"/>
        <v>233</v>
      </c>
      <c r="B259" s="119" t="s">
        <v>130</v>
      </c>
      <c r="C259" s="118" t="s">
        <v>8</v>
      </c>
      <c r="D259" s="118" t="s">
        <v>301</v>
      </c>
      <c r="E259" s="118" t="s">
        <v>304</v>
      </c>
    </row>
    <row r="260" spans="1:5" x14ac:dyDescent="0.2">
      <c r="A260" s="115">
        <f t="shared" si="4"/>
        <v>234</v>
      </c>
      <c r="B260" s="116" t="s">
        <v>95</v>
      </c>
      <c r="C260" s="117" t="s">
        <v>7</v>
      </c>
      <c r="D260" s="117" t="s">
        <v>301</v>
      </c>
      <c r="E260" s="118" t="s">
        <v>303</v>
      </c>
    </row>
    <row r="261" spans="1:5" x14ac:dyDescent="0.2">
      <c r="A261" s="115">
        <f t="shared" si="4"/>
        <v>235</v>
      </c>
      <c r="B261" s="116" t="s">
        <v>265</v>
      </c>
      <c r="C261" s="117" t="s">
        <v>7</v>
      </c>
      <c r="D261" s="117" t="s">
        <v>301</v>
      </c>
      <c r="E261" s="118" t="s">
        <v>311</v>
      </c>
    </row>
    <row r="262" spans="1:5" x14ac:dyDescent="0.2">
      <c r="A262" s="115">
        <f t="shared" si="4"/>
        <v>236</v>
      </c>
      <c r="B262" s="116" t="s">
        <v>96</v>
      </c>
      <c r="C262" s="117" t="s">
        <v>7</v>
      </c>
      <c r="D262" s="117" t="s">
        <v>301</v>
      </c>
      <c r="E262" s="118" t="s">
        <v>303</v>
      </c>
    </row>
    <row r="263" spans="1:5" x14ac:dyDescent="0.2">
      <c r="A263" s="115">
        <f t="shared" si="4"/>
        <v>237</v>
      </c>
      <c r="B263" s="119" t="s">
        <v>131</v>
      </c>
      <c r="C263" s="118" t="s">
        <v>8</v>
      </c>
      <c r="D263" s="118" t="s">
        <v>305</v>
      </c>
      <c r="E263" s="118" t="s">
        <v>304</v>
      </c>
    </row>
    <row r="264" spans="1:5" x14ac:dyDescent="0.2">
      <c r="A264" s="115">
        <f t="shared" si="4"/>
        <v>238</v>
      </c>
      <c r="B264" s="116" t="s">
        <v>296</v>
      </c>
      <c r="C264" s="117" t="s">
        <v>7</v>
      </c>
      <c r="D264" s="117" t="s">
        <v>301</v>
      </c>
      <c r="E264" s="118" t="s">
        <v>312</v>
      </c>
    </row>
    <row r="265" spans="1:5" x14ac:dyDescent="0.2">
      <c r="A265" s="115">
        <f t="shared" si="4"/>
        <v>239</v>
      </c>
      <c r="B265" s="116" t="s">
        <v>233</v>
      </c>
      <c r="C265" s="117" t="s">
        <v>7</v>
      </c>
      <c r="D265" s="117" t="s">
        <v>301</v>
      </c>
      <c r="E265" s="118" t="s">
        <v>310</v>
      </c>
    </row>
    <row r="266" spans="1:5" x14ac:dyDescent="0.2">
      <c r="A266" s="115">
        <f t="shared" si="4"/>
        <v>240</v>
      </c>
      <c r="B266" s="116" t="s">
        <v>63</v>
      </c>
      <c r="C266" s="117" t="s">
        <v>7</v>
      </c>
      <c r="D266" s="117" t="s">
        <v>301</v>
      </c>
      <c r="E266" s="118" t="s">
        <v>302</v>
      </c>
    </row>
    <row r="267" spans="1:5" x14ac:dyDescent="0.2">
      <c r="A267" s="115">
        <f t="shared" si="4"/>
        <v>241</v>
      </c>
      <c r="B267" s="119" t="s">
        <v>164</v>
      </c>
      <c r="C267" s="118" t="s">
        <v>8</v>
      </c>
      <c r="D267" s="118" t="s">
        <v>301</v>
      </c>
      <c r="E267" s="118" t="s">
        <v>306</v>
      </c>
    </row>
    <row r="268" spans="1:5" x14ac:dyDescent="0.2">
      <c r="A268" s="115">
        <f t="shared" si="4"/>
        <v>242</v>
      </c>
      <c r="B268" s="116" t="s">
        <v>97</v>
      </c>
      <c r="C268" s="117" t="s">
        <v>8</v>
      </c>
      <c r="D268" s="117" t="s">
        <v>301</v>
      </c>
      <c r="E268" s="118" t="s">
        <v>303</v>
      </c>
    </row>
    <row r="269" spans="1:5" x14ac:dyDescent="0.2">
      <c r="A269" s="115">
        <f t="shared" si="4"/>
        <v>243</v>
      </c>
      <c r="B269" s="119" t="s">
        <v>165</v>
      </c>
      <c r="C269" s="118" t="s">
        <v>7</v>
      </c>
      <c r="D269" s="118" t="s">
        <v>301</v>
      </c>
      <c r="E269" s="118" t="s">
        <v>306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16</vt:i4>
      </vt:variant>
    </vt:vector>
  </HeadingPairs>
  <TitlesOfParts>
    <vt:vector size="27" baseType="lpstr">
      <vt:lpstr>X-1</vt:lpstr>
      <vt:lpstr>X-2</vt:lpstr>
      <vt:lpstr>X-3</vt:lpstr>
      <vt:lpstr>X-4</vt:lpstr>
      <vt:lpstr>X-5</vt:lpstr>
      <vt:lpstr>X-6</vt:lpstr>
      <vt:lpstr>X-7</vt:lpstr>
      <vt:lpstr>X-8</vt:lpstr>
      <vt:lpstr>OLAH SBSENSI 2025</vt:lpstr>
      <vt:lpstr>REKAP</vt:lpstr>
      <vt:lpstr>Sheet1</vt:lpstr>
      <vt:lpstr>'X-1'!__xlnm.Print_Area</vt:lpstr>
      <vt:lpstr>'X-2'!__xlnm.Print_Area</vt:lpstr>
      <vt:lpstr>'X-3'!__xlnm.Print_Area</vt:lpstr>
      <vt:lpstr>'X-4'!__xlnm.Print_Area</vt:lpstr>
      <vt:lpstr>'X-5'!__xlnm.Print_Area</vt:lpstr>
      <vt:lpstr>'X-6'!__xlnm.Print_Area</vt:lpstr>
      <vt:lpstr>'X-7'!__xlnm.Print_Area</vt:lpstr>
      <vt:lpstr>'X-8'!__xlnm.Print_Area</vt:lpstr>
      <vt:lpstr>'X-1'!Print_Area</vt:lpstr>
      <vt:lpstr>'X-2'!Print_Area</vt:lpstr>
      <vt:lpstr>'X-3'!Print_Area</vt:lpstr>
      <vt:lpstr>'X-4'!Print_Area</vt:lpstr>
      <vt:lpstr>'X-5'!Print_Area</vt:lpstr>
      <vt:lpstr>'X-6'!Print_Area</vt:lpstr>
      <vt:lpstr>'X-7'!Print_Area</vt:lpstr>
      <vt:lpstr>'X-8'!Print_Area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BANYOE</cp:lastModifiedBy>
  <cp:lastPrinted>2025-07-21T04:16:14Z</cp:lastPrinted>
  <dcterms:created xsi:type="dcterms:W3CDTF">2020-07-21T03:59:25Z</dcterms:created>
  <dcterms:modified xsi:type="dcterms:W3CDTF">2025-09-01T06:11:55Z</dcterms:modified>
</cp:coreProperties>
</file>